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9.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10.xml" ContentType="application/vnd.openxmlformats-officedocument.drawing+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tables/table26.xml" ContentType="application/vnd.openxmlformats-officedocument.spreadsheetml.table+xml"/>
  <Override PartName="/xl/queryTables/queryTable18.xml" ContentType="application/vnd.openxmlformats-officedocument.spreadsheetml.queryTable+xml"/>
  <Override PartName="/xl/tables/table27.xml" ContentType="application/vnd.openxmlformats-officedocument.spreadsheetml.table+xml"/>
  <Override PartName="/xl/queryTables/queryTable19.xml" ContentType="application/vnd.openxmlformats-officedocument.spreadsheetml.queryTable+xml"/>
  <Override PartName="/xl/pivotTables/pivotTable1.xml" ContentType="application/vnd.openxmlformats-officedocument.spreadsheetml.pivot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C:\Users\Rudy\Documents\"/>
    </mc:Choice>
  </mc:AlternateContent>
  <xr:revisionPtr revIDLastSave="0" documentId="13_ncr:1_{DCE91E18-A9DC-4D6B-98BC-073F78686AEF}" xr6:coauthVersionLast="45" xr6:coauthVersionMax="45" xr10:uidLastSave="{00000000-0000-0000-0000-000000000000}"/>
  <bookViews>
    <workbookView xWindow="-120" yWindow="-120" windowWidth="29040" windowHeight="15840" xr2:uid="{42D7BC21-0B8C-4066-BC8B-B13823F06298}"/>
  </bookViews>
  <sheets>
    <sheet name="Dashboard" sheetId="17" r:id="rId1"/>
    <sheet name="Buy" sheetId="2" r:id="rId2"/>
    <sheet name="Sell" sheetId="3" r:id="rId3"/>
    <sheet name="Stock Data" sheetId="5" r:id="rId4"/>
    <sheet name="PivotData" sheetId="4" r:id="rId5"/>
  </sheets>
  <definedNames>
    <definedName name="_xlcn.WorksheetConnection_excel_project_stock.xlsmChevron1" hidden="1">Chevron[]</definedName>
    <definedName name="_xlcn.WorksheetConnection_excel_project_stock.xlsmFacebook1" hidden="1">Facebook[]</definedName>
    <definedName name="_xlcn.WorksheetConnection_excel_project_stock.xlsmNasdaq1" hidden="1">Nasdaq[]</definedName>
    <definedName name="_xlcn.WorksheetConnection_excel_project_stock.xlsmNextera1" hidden="1">Nextera[]</definedName>
    <definedName name="_xlcn.WorksheetConnection_excel_project_stock.xlsmRaytheon1" hidden="1">Raytheon[]</definedName>
    <definedName name="_xlcn.WorksheetConnection_excel_project_stock.xlsmShell1" hidden="1">Shell[]</definedName>
    <definedName name="_xlcn.WorksheetConnection_excel_project_stock.xlsmTable61" hidden="1">Table6[]</definedName>
    <definedName name="_xlcn.WorksheetConnection_excel_project_stock.xlsmTesla1" hidden="1">Tesla[]</definedName>
    <definedName name="BuyTable">Table2[]</definedName>
    <definedName name="Category">Sell!$N$14:$N$17</definedName>
    <definedName name="ExternalData_1" localSheetId="0" hidden="1">Dashboard!$A$40:$B$48</definedName>
    <definedName name="ExternalData_10" localSheetId="0" hidden="1">Dashboard!$C$62:$D$70</definedName>
    <definedName name="ExternalData_10" localSheetId="3" hidden="1">'Stock Data'!$I$7:$O$38</definedName>
    <definedName name="ExternalData_11" localSheetId="0" hidden="1">Dashboard!$F$62:$G$70</definedName>
    <definedName name="ExternalData_11" localSheetId="3" hidden="1">'Stock Data'!$A$7:$G$48</definedName>
    <definedName name="ExternalData_12" localSheetId="0" hidden="1">Dashboard!$H$62:$I$70</definedName>
    <definedName name="ExternalData_12" localSheetId="3" hidden="1">'Stock Data'!$AO$7:$AU$48</definedName>
    <definedName name="ExternalData_13" localSheetId="3" hidden="1">'Stock Data'!$AW$7:$BC$49</definedName>
    <definedName name="ExternalData_2" localSheetId="0" hidden="1">Dashboard!$C$40:$D$48</definedName>
    <definedName name="ExternalData_3" localSheetId="0" hidden="1">Dashboard!$F$40:$G$48</definedName>
    <definedName name="ExternalData_4" localSheetId="0" hidden="1">Dashboard!$H$40:$I$48</definedName>
    <definedName name="ExternalData_5" localSheetId="0" hidden="1">Dashboard!$A$51:$B$59</definedName>
    <definedName name="ExternalData_6" localSheetId="0" hidden="1">Dashboard!$C$51:$D$59</definedName>
    <definedName name="ExternalData_6" localSheetId="3" hidden="1">'Stock Data'!$AG$7:$AM$49</definedName>
    <definedName name="ExternalData_7" localSheetId="0" hidden="1">Dashboard!$F$51:$G$59</definedName>
    <definedName name="ExternalData_8" localSheetId="0" hidden="1">Dashboard!$H$51:$I$59</definedName>
    <definedName name="ExternalData_8" localSheetId="3" hidden="1">'Stock Data'!$Y$7:$AE$47</definedName>
    <definedName name="ExternalData_9" localSheetId="0" hidden="1">Dashboard!$A$62:$B$70</definedName>
    <definedName name="ExternalData_9" localSheetId="3" hidden="1">'Stock Data'!$Q$7:$W$47</definedName>
    <definedName name="Slicer_Allocation1">#N/A</definedName>
    <definedName name="Slicer_Preference1">#N/A</definedName>
    <definedName name="solver_eng" localSheetId="1" hidden="1">1</definedName>
    <definedName name="solver_neg" localSheetId="1" hidden="1">1</definedName>
    <definedName name="solver_num" localSheetId="1" hidden="1">0</definedName>
    <definedName name="solver_opt" localSheetId="1" hidden="1">Buy!$J$23</definedName>
    <definedName name="solver_typ" localSheetId="1" hidden="1">1</definedName>
    <definedName name="solver_val" localSheetId="1" hidden="1">0</definedName>
    <definedName name="solver_ver" localSheetId="1" hidden="1">3</definedName>
    <definedName name="Stocks">Table2[]</definedName>
  </definedNames>
  <calcPr calcId="191029"/>
  <pivotCaches>
    <pivotCache cacheId="2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sla" name="Tesla" connection="WorksheetConnection_excel_project_stock.xlsm!Tesla"/>
          <x15:modelTable id="Table6" name="Table6" connection="WorksheetConnection_excel_project_stock.xlsm!Table6"/>
          <x15:modelTable id="Shell" name="Shell" connection="WorksheetConnection_excel_project_stock.xlsm!Shell"/>
          <x15:modelTable id="Raytheon" name="Raytheon" connection="WorksheetConnection_excel_project_stock.xlsm!Raytheon"/>
          <x15:modelTable id="Nextera" name="Nextera" connection="WorksheetConnection_excel_project_stock.xlsm!Nextera"/>
          <x15:modelTable id="Nasdaq" name="Nasdaq" connection="WorksheetConnection_excel_project_stock.xlsm!Nasdaq"/>
          <x15:modelTable id="Facebook" name="Facebook" connection="WorksheetConnection_excel_project_stock.xlsm!Facebook"/>
          <x15:modelTable id="Chevron" name="Chevron" connection="WorksheetConnection_excel_project_stock.xlsm!Chevron"/>
        </x15:modelTables>
        <x15:modelRelationships>
          <x15:modelRelationship fromTable="Nasdaq" fromColumn="Volume" toTable="Chevron" toColumn="Volu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2" i="2" l="1"/>
  <c r="C13" i="2"/>
  <c r="C14" i="2"/>
  <c r="C15" i="2"/>
  <c r="C16" i="2"/>
  <c r="G12" i="2"/>
  <c r="G13" i="2"/>
  <c r="G14" i="2"/>
  <c r="D16" i="2" l="1"/>
  <c r="E16" i="2"/>
  <c r="F16" i="2"/>
  <c r="G16" i="2"/>
  <c r="J15" i="2"/>
  <c r="D15" i="2"/>
  <c r="E15" i="2"/>
  <c r="F15" i="2"/>
  <c r="G15" i="2"/>
  <c r="J14" i="2"/>
  <c r="D14" i="2"/>
  <c r="E14" i="2"/>
  <c r="F14" i="2"/>
  <c r="J13" i="2"/>
  <c r="D13" i="2"/>
  <c r="E13" i="2"/>
  <c r="F13" i="2"/>
  <c r="J12" i="2"/>
  <c r="D12" i="2"/>
  <c r="E12" i="2"/>
  <c r="F12" i="2"/>
  <c r="C11" i="2"/>
  <c r="J11" i="2" s="1"/>
  <c r="D11" i="2"/>
  <c r="E11" i="2"/>
  <c r="F11" i="2"/>
  <c r="G11" i="2"/>
  <c r="I16" i="2" l="1"/>
  <c r="I11" i="2"/>
  <c r="I15" i="2"/>
  <c r="I14" i="2"/>
  <c r="I13" i="2"/>
  <c r="I12" i="2"/>
  <c r="J16" i="2"/>
  <c r="J17" i="2" s="1"/>
  <c r="F17" i="2"/>
  <c r="G17" i="2"/>
  <c r="N9" i="17" s="1"/>
  <c r="B12" i="3"/>
  <c r="H12" i="3" l="1"/>
  <c r="G8" i="3"/>
  <c r="F8" i="3"/>
  <c r="E8" i="3"/>
  <c r="D8" i="3"/>
  <c r="C8" i="3"/>
  <c r="B8" i="3"/>
  <c r="G8" i="2" l="1"/>
  <c r="F8" i="2"/>
  <c r="E8" i="2"/>
  <c r="D8" i="2"/>
  <c r="C8" i="2"/>
  <c r="B8" i="2"/>
  <c r="P16" i="3" l="1"/>
  <c r="N16" i="2"/>
  <c r="P15" i="3"/>
  <c r="N15" i="2"/>
  <c r="P17" i="3"/>
  <c r="N17" i="2"/>
  <c r="B17" i="2"/>
  <c r="P14" i="3" l="1"/>
  <c r="Q14" i="3" s="1"/>
  <c r="N14" i="2"/>
  <c r="O14" i="2" s="1"/>
  <c r="I17" i="2"/>
  <c r="L11" i="2" s="1"/>
  <c r="N11" i="3" s="1"/>
  <c r="N6" i="17" l="1"/>
  <c r="O16" i="2"/>
  <c r="Q15" i="3"/>
  <c r="Q16" i="3"/>
  <c r="Q17" i="3"/>
  <c r="O15" i="2"/>
  <c r="O17"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045DE5-9391-4D69-A536-98916AD2B2DA}" keepAlive="1" name="Query - Chevron" description="Connection to the 'Chevron' query in the workbook." type="5" refreshedVersion="6" background="1" saveData="1">
    <dbPr connection="Provider=Microsoft.Mashup.OleDb.1;Data Source=$Workbook$;Location=Chevron;Extended Properties=&quot;&quot;" command="SELECT * FROM [Chevron]"/>
  </connection>
  <connection id="2" xr16:uid="{EB84C163-6B1B-4ED3-9B15-048214C68493}" keepAlive="1" name="Query - Facebook" description="Connection to the 'Facebook' query in the workbook." type="5" refreshedVersion="6" background="1" saveData="1">
    <dbPr connection="Provider=Microsoft.Mashup.OleDb.1;Data Source=$Workbook$;Location=Facebook;Extended Properties=&quot;&quot;" command="SELECT * FROM [Facebook]"/>
  </connection>
  <connection id="3" xr16:uid="{A290B54D-DA8C-4F4C-AF5E-39F9D04E7431}" keepAlive="1" name="Query - Nasdaq" description="Connection to the 'Nasdaq' query in the workbook." type="5" refreshedVersion="6" background="1" saveData="1">
    <dbPr connection="Provider=Microsoft.Mashup.OleDb.1;Data Source=$Workbook$;Location=Nasdaq;Extended Properties=&quot;&quot;" command="SELECT * FROM [Nasdaq]"/>
  </connection>
  <connection id="4" xr16:uid="{370A4139-6D59-46E3-BDCC-BFBA04663A13}" keepAlive="1" name="Query - Nextera" description="Connection to the 'Nextera' query in the workbook." type="5" refreshedVersion="6" background="1" saveData="1">
    <dbPr connection="Provider=Microsoft.Mashup.OleDb.1;Data Source=$Workbook$;Location=Nextera;Extended Properties=&quot;&quot;" command="SELECT * FROM [Nextera]"/>
  </connection>
  <connection id="5" xr16:uid="{D32FEEC8-57D0-4BB5-A1FE-DA8667D9C816}" keepAlive="1" name="Query - Raytheon" description="Connection to the 'Raytheon' query in the workbook." type="5" refreshedVersion="6" background="1" saveData="1">
    <dbPr connection="Provider=Microsoft.Mashup.OleDb.1;Data Source=$Workbook$;Location=Raytheon;Extended Properties=&quot;&quot;" command="SELECT * FROM [Raytheon]"/>
  </connection>
  <connection id="6" xr16:uid="{EB1A86B1-6592-40F0-ACC1-16483A9A11AE}" keepAlive="1" name="Query - Shell" description="Connection to the 'Shell' query in the workbook." type="5" refreshedVersion="6" background="1" saveData="1">
    <dbPr connection="Provider=Microsoft.Mashup.OleDb.1;Data Source=$Workbook$;Location=Shell;Extended Properties=&quot;&quot;" command="SELECT * FROM [Shell]"/>
  </connection>
  <connection id="7" xr16:uid="{6223A767-5B6F-4ED7-8A4A-E5DA20FAC712}"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8" xr16:uid="{05E0D8A5-FBE3-46E5-B9EA-395D253EF5AD}" keepAlive="1" name="Query - Table 0 (4)" description="Connection to the 'Table 0 (4)' query in the workbook." type="5" refreshedVersion="6" background="1" saveData="1">
    <dbPr connection="Provider=Microsoft.Mashup.OleDb.1;Data Source=$Workbook$;Location=Table 0 (4);Extended Properties=&quot;&quot;" command="SELECT * FROM [Table 0 (4)]"/>
  </connection>
  <connection id="9" xr16:uid="{4BE66D04-8A94-48DE-BEA3-984C8D1D4163}" keepAlive="1" name="Query - Table 0 (5)" description="Connection to the 'Table 0 (5)' query in the workbook." type="5" refreshedVersion="6" background="1" saveData="1">
    <dbPr connection="Provider=Microsoft.Mashup.OleDb.1;Data Source=$Workbook$;Location=Table 0 (5);Extended Properties=&quot;&quot;" command="SELECT * FROM [Table 0 (5)]"/>
  </connection>
  <connection id="10" xr16:uid="{CBD89BDB-EF99-4793-BE26-742C0240949E}" keepAlive="1" name="Query - Table 0 (7)" description="Connection to the 'Table 0 (7)' query in the workbook." type="5" refreshedVersion="6" background="1" saveData="1">
    <dbPr connection="Provider=Microsoft.Mashup.OleDb.1;Data Source=$Workbook$;Location=Table 0 (7);Extended Properties=&quot;&quot;" command="SELECT * FROM [Table 0 (7)]"/>
  </connection>
  <connection id="11" xr16:uid="{28E02DCA-E635-41BD-8BB1-C6B2B759F098}" keepAlive="1" name="Query - Table 0 (8)" description="Connection to the 'Table 0 (8)' query in the workbook." type="5" refreshedVersion="6" background="1" saveData="1">
    <dbPr connection="Provider=Microsoft.Mashup.OleDb.1;Data Source=$Workbook$;Location=Table 0 (8);Extended Properties=&quot;&quot;" command="SELECT * FROM [Table 0 (8)]"/>
  </connection>
  <connection id="12" xr16:uid="{170CD1D7-05CB-4219-A5FC-567D9FCF74CF}" keepAlive="1" name="Query - Table 0 (9)" description="Connection to the 'Table 0 (9)' query in the workbook." type="5" refreshedVersion="6" background="1" saveData="1">
    <dbPr connection="Provider=Microsoft.Mashup.OleDb.1;Data Source=$Workbook$;Location=Table 0 (9);Extended Properties=&quot;&quot;" command="SELECT * FROM [Table 0 (9)]"/>
  </connection>
  <connection id="13" xr16:uid="{93E0E48E-6D12-4B0C-9E5E-F6C59AE717B0}" keepAlive="1" name="Query - Table 1" description="Connection to the 'Table 1' query in the workbook." type="5" refreshedVersion="6" background="1" saveData="1">
    <dbPr connection="Provider=Microsoft.Mashup.OleDb.1;Data Source=$Workbook$;Location=Table 1;Extended Properties=&quot;&quot;" command="SELECT * FROM [Table 1]"/>
  </connection>
  <connection id="14" xr16:uid="{5407FF1B-8333-4B1A-AFDA-D9A115C1A741}" keepAlive="1" name="Query - Table 1 (4)" description="Connection to the 'Table 1 (4)' query in the workbook." type="5" refreshedVersion="6" background="1" saveData="1">
    <dbPr connection="Provider=Microsoft.Mashup.OleDb.1;Data Source=$Workbook$;Location=Table 1 (4);Extended Properties=&quot;&quot;" command="SELECT * FROM [Table 1 (4)]"/>
  </connection>
  <connection id="15" xr16:uid="{8D7ED65E-4AE7-4CEB-8F3A-0F181AED314F}" keepAlive="1" name="Query - Table 1 (5)" description="Connection to the 'Table 1 (5)' query in the workbook." type="5" refreshedVersion="6" background="1" saveData="1">
    <dbPr connection="Provider=Microsoft.Mashup.OleDb.1;Data Source=$Workbook$;Location=Table 1 (5);Extended Properties=&quot;&quot;" command="SELECT * FROM [Table 1 (5)]"/>
  </connection>
  <connection id="16" xr16:uid="{A0170B4B-869C-4287-85F3-4381DB2D8573}" keepAlive="1" name="Query - Table 1 (7)" description="Connection to the 'Table 1 (7)' query in the workbook." type="5" refreshedVersion="6" background="1" saveData="1">
    <dbPr connection="Provider=Microsoft.Mashup.OleDb.1;Data Source=$Workbook$;Location=Table 1 (7);Extended Properties=&quot;&quot;" command="SELECT * FROM [Table 1 (7)]"/>
  </connection>
  <connection id="17" xr16:uid="{B2A230B0-D44D-4220-A240-4A1C4C9760CD}" keepAlive="1" name="Query - Table 1 (8)" description="Connection to the 'Table 1 (8)' query in the workbook." type="5" refreshedVersion="6" background="1" saveData="1">
    <dbPr connection="Provider=Microsoft.Mashup.OleDb.1;Data Source=$Workbook$;Location=Table 1 (8);Extended Properties=&quot;&quot;" command="SELECT * FROM [Table 1 (8)]"/>
  </connection>
  <connection id="18" xr16:uid="{684F4E41-773A-45EC-9E9A-B10FB5520233}" keepAlive="1" name="Query - Table 1 (9)" description="Connection to the 'Table 1 (9)' query in the workbook." type="5" refreshedVersion="6" background="1" saveData="1">
    <dbPr connection="Provider=Microsoft.Mashup.OleDb.1;Data Source=$Workbook$;Location=Table 1 (9);Extended Properties=&quot;&quot;" command="SELECT * FROM [Table 1 (9)]"/>
  </connection>
  <connection id="19" xr16:uid="{71EED74E-4280-4CD6-84F5-1B5E7783D31A}" keepAlive="1" name="Query - Tesla" description="Connection to the 'Tesla' query in the workbook." type="5" refreshedVersion="6" background="1" saveData="1">
    <dbPr connection="Provider=Microsoft.Mashup.OleDb.1;Data Source=$Workbook$;Location=Tesla;Extended Properties=&quot;&quot;" command="SELECT * FROM [Tesla]"/>
  </connection>
  <connection id="20" xr16:uid="{8ECE8872-576A-42E6-82C1-432E81BAB28C}"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1" xr16:uid="{BE733482-4A97-4D7B-9F87-CB6E8B93001B}" name="WorksheetConnection_excel_project_stock.xlsm!Chevron" type="102" refreshedVersion="6" minRefreshableVersion="5">
    <extLst>
      <ext xmlns:x15="http://schemas.microsoft.com/office/spreadsheetml/2010/11/main" uri="{DE250136-89BD-433C-8126-D09CA5730AF9}">
        <x15:connection id="Chevron">
          <x15:rangePr sourceName="_xlcn.WorksheetConnection_excel_project_stock.xlsmChevron1"/>
        </x15:connection>
      </ext>
    </extLst>
  </connection>
  <connection id="22" xr16:uid="{D05331C9-0B37-4CC9-B9CB-63737B29DA6E}" name="WorksheetConnection_excel_project_stock.xlsm!Facebook" type="102" refreshedVersion="6" minRefreshableVersion="5">
    <extLst>
      <ext xmlns:x15="http://schemas.microsoft.com/office/spreadsheetml/2010/11/main" uri="{DE250136-89BD-433C-8126-D09CA5730AF9}">
        <x15:connection id="Facebook">
          <x15:rangePr sourceName="_xlcn.WorksheetConnection_excel_project_stock.xlsmFacebook1"/>
        </x15:connection>
      </ext>
    </extLst>
  </connection>
  <connection id="23" xr16:uid="{7100B486-F7E2-434A-BB62-51C905F4887C}" name="WorksheetConnection_excel_project_stock.xlsm!Nasdaq" type="102" refreshedVersion="6" minRefreshableVersion="5">
    <extLst>
      <ext xmlns:x15="http://schemas.microsoft.com/office/spreadsheetml/2010/11/main" uri="{DE250136-89BD-433C-8126-D09CA5730AF9}">
        <x15:connection id="Nasdaq">
          <x15:rangePr sourceName="_xlcn.WorksheetConnection_excel_project_stock.xlsmNasdaq1"/>
        </x15:connection>
      </ext>
    </extLst>
  </connection>
  <connection id="24" xr16:uid="{47D0D34C-245C-4EED-9A9E-D706E3524CEF}" name="WorksheetConnection_excel_project_stock.xlsm!Nextera" type="102" refreshedVersion="6" minRefreshableVersion="5">
    <extLst>
      <ext xmlns:x15="http://schemas.microsoft.com/office/spreadsheetml/2010/11/main" uri="{DE250136-89BD-433C-8126-D09CA5730AF9}">
        <x15:connection id="Nextera">
          <x15:rangePr sourceName="_xlcn.WorksheetConnection_excel_project_stock.xlsmNextera1"/>
        </x15:connection>
      </ext>
    </extLst>
  </connection>
  <connection id="25" xr16:uid="{0BDE03AE-74C6-47C2-843D-596B8C6CAC49}" name="WorksheetConnection_excel_project_stock.xlsm!Raytheon" type="102" refreshedVersion="6" minRefreshableVersion="5">
    <extLst>
      <ext xmlns:x15="http://schemas.microsoft.com/office/spreadsheetml/2010/11/main" uri="{DE250136-89BD-433C-8126-D09CA5730AF9}">
        <x15:connection id="Raytheon">
          <x15:rangePr sourceName="_xlcn.WorksheetConnection_excel_project_stock.xlsmRaytheon1"/>
        </x15:connection>
      </ext>
    </extLst>
  </connection>
  <connection id="26" xr16:uid="{6A014397-D2EE-43E3-B7A9-4F7BB06CA187}" name="WorksheetConnection_excel_project_stock.xlsm!Shell" type="102" refreshedVersion="6" minRefreshableVersion="5">
    <extLst>
      <ext xmlns:x15="http://schemas.microsoft.com/office/spreadsheetml/2010/11/main" uri="{DE250136-89BD-433C-8126-D09CA5730AF9}">
        <x15:connection id="Shell">
          <x15:rangePr sourceName="_xlcn.WorksheetConnection_excel_project_stock.xlsmShell1"/>
        </x15:connection>
      </ext>
    </extLst>
  </connection>
  <connection id="27" xr16:uid="{B43151EA-3286-4A02-979F-38EE21AF6388}" name="WorksheetConnection_excel_project_stock.xlsm!Table6" type="102" refreshedVersion="6" minRefreshableVersion="5">
    <extLst>
      <ext xmlns:x15="http://schemas.microsoft.com/office/spreadsheetml/2010/11/main" uri="{DE250136-89BD-433C-8126-D09CA5730AF9}">
        <x15:connection id="Table6" autoDelete="1">
          <x15:rangePr sourceName="_xlcn.WorksheetConnection_excel_project_stock.xlsmTable61"/>
        </x15:connection>
      </ext>
    </extLst>
  </connection>
  <connection id="28" xr16:uid="{0C93AE88-A64D-4EE1-860B-1149633DFEF1}" name="WorksheetConnection_excel_project_stock.xlsm!Tesla" type="102" refreshedVersion="6" minRefreshableVersion="5">
    <extLst>
      <ext xmlns:x15="http://schemas.microsoft.com/office/spreadsheetml/2010/11/main" uri="{DE250136-89BD-433C-8126-D09CA5730AF9}">
        <x15:connection id="Tesla">
          <x15:rangePr sourceName="_xlcn.WorksheetConnection_excel_project_stock.xlsmTesla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2"/>
        </ext>
      </extLst>
    </bk>
    <bk>
      <extLst>
        <ext uri="{3e2802c4-a4d2-4d8b-9148-e3be6c30e623}">
          <xlrd:rvb i="9"/>
        </ext>
      </extLst>
    </bk>
    <bk>
      <extLst>
        <ext uri="{3e2802c4-a4d2-4d8b-9148-e3be6c30e623}">
          <xlrd:rvb i="15"/>
        </ext>
      </extLst>
    </bk>
    <bk>
      <extLst>
        <ext uri="{3e2802c4-a4d2-4d8b-9148-e3be6c30e623}">
          <xlrd:rvb i="21"/>
        </ext>
      </extLst>
    </bk>
    <bk>
      <extLst>
        <ext uri="{3e2802c4-a4d2-4d8b-9148-e3be6c30e623}">
          <xlrd:rvb i="27"/>
        </ext>
      </extLst>
    </bk>
    <bk>
      <extLst>
        <ext uri="{3e2802c4-a4d2-4d8b-9148-e3be6c30e623}">
          <xlrd:rvb i="34"/>
        </ext>
      </extLst>
    </bk>
    <bk>
      <extLst>
        <ext uri="{3e2802c4-a4d2-4d8b-9148-e3be6c30e623}">
          <xlrd:rvb i="40"/>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<sst xmlns="http://schemas.openxmlformats.org/spreadsheetml/2006/main" count="346" uniqueCount="141">
  <si>
    <t>Green Stocks</t>
  </si>
  <si>
    <t>Category</t>
  </si>
  <si>
    <t>Price</t>
  </si>
  <si>
    <t>Volume</t>
  </si>
  <si>
    <t>52 week high</t>
  </si>
  <si>
    <t>Change</t>
  </si>
  <si>
    <t>Change (%)</t>
  </si>
  <si>
    <t>Total</t>
  </si>
  <si>
    <t>Equity</t>
  </si>
  <si>
    <t>Oil &amp; Gas</t>
  </si>
  <si>
    <t>Technology</t>
  </si>
  <si>
    <t>Defense</t>
  </si>
  <si>
    <t>Preference</t>
  </si>
  <si>
    <t>Allocation</t>
  </si>
  <si>
    <t>Stock</t>
  </si>
  <si>
    <t xml:space="preserve">Shares </t>
  </si>
  <si>
    <t>Shares</t>
  </si>
  <si>
    <t>Country/region</t>
  </si>
  <si>
    <t>High</t>
  </si>
  <si>
    <t>Indice</t>
  </si>
  <si>
    <t>Row Labels</t>
  </si>
  <si>
    <t>Grand Total</t>
  </si>
  <si>
    <t>Sum of Equity</t>
  </si>
  <si>
    <t>Sum of Allocation</t>
  </si>
  <si>
    <t>Date</t>
  </si>
  <si>
    <t>Open</t>
  </si>
  <si>
    <t>Low</t>
  </si>
  <si>
    <t>Close*</t>
  </si>
  <si>
    <t>Adj Close**</t>
  </si>
  <si>
    <t>Tesla</t>
  </si>
  <si>
    <t>Nextera</t>
  </si>
  <si>
    <t>Facebook</t>
  </si>
  <si>
    <t>Chevron</t>
  </si>
  <si>
    <t>Shell</t>
  </si>
  <si>
    <t>Raytheon</t>
  </si>
  <si>
    <t>Nasdaq</t>
  </si>
  <si>
    <t>Sum of Preference</t>
  </si>
  <si>
    <t>Market Value</t>
  </si>
  <si>
    <t>Investing</t>
  </si>
  <si>
    <t>Face Value</t>
  </si>
  <si>
    <t>Diversity</t>
  </si>
  <si>
    <t>Previous Close</t>
  </si>
  <si>
    <t>Bid</t>
  </si>
  <si>
    <t>Ask</t>
  </si>
  <si>
    <t>Day's Range</t>
  </si>
  <si>
    <t>52 Week Range</t>
  </si>
  <si>
    <t>211.00 - 1,794.99</t>
  </si>
  <si>
    <t>Avg. Volume</t>
  </si>
  <si>
    <t>Market Cap</t>
  </si>
  <si>
    <t>Beta (5Y Monthly)</t>
  </si>
  <si>
    <t>1.20</t>
  </si>
  <si>
    <t>PE Ratio (TTM)</t>
  </si>
  <si>
    <t>EPS (TTM)</t>
  </si>
  <si>
    <t>1.92</t>
  </si>
  <si>
    <t>Earnings Date</t>
  </si>
  <si>
    <t>Oct 21, 2020 - Oct 26, 2020</t>
  </si>
  <si>
    <t>Forward Dividend &amp; Yield</t>
  </si>
  <si>
    <t>N/A (N/A)</t>
  </si>
  <si>
    <t>Ex-Dividend Date</t>
  </si>
  <si>
    <t>N/A</t>
  </si>
  <si>
    <t>1y Target Est</t>
  </si>
  <si>
    <t>174.80 - 285.63</t>
  </si>
  <si>
    <t>0.22</t>
  </si>
  <si>
    <t>7.24</t>
  </si>
  <si>
    <t>Oct 20, 2020 - Oct 26, 2020</t>
  </si>
  <si>
    <t>Jun 01, 2020</t>
  </si>
  <si>
    <t>Nextera Energy</t>
  </si>
  <si>
    <t>137.10 - 250.15</t>
  </si>
  <si>
    <t>7.29</t>
  </si>
  <si>
    <t>1.30</t>
  </si>
  <si>
    <t>2.06</t>
  </si>
  <si>
    <t>Jul 31, 2020</t>
  </si>
  <si>
    <t>May 18, 2020</t>
  </si>
  <si>
    <t>51.60 - 125.27</t>
  </si>
  <si>
    <t>19.19 - 64.23</t>
  </si>
  <si>
    <t>0.85</t>
  </si>
  <si>
    <t>2.45</t>
  </si>
  <si>
    <t>May 14, 2020</t>
  </si>
  <si>
    <t>43.50</t>
  </si>
  <si>
    <t>Aug 13, 2020</t>
  </si>
  <si>
    <t>43.44 - 99.71</t>
  </si>
  <si>
    <t>Column1</t>
  </si>
  <si>
    <t>Column2</t>
  </si>
  <si>
    <t>100.71</t>
  </si>
  <si>
    <t>92.425B</t>
  </si>
  <si>
    <t>Oct 20, 2020 - Oct 30, 2020</t>
  </si>
  <si>
    <t>1.90 (3.11%)</t>
  </si>
  <si>
    <t>76.55</t>
  </si>
  <si>
    <t>61.09</t>
  </si>
  <si>
    <t>61.74</t>
  </si>
  <si>
    <t>0.00 x 1400</t>
  </si>
  <si>
    <t>0.00 x 2200</t>
  </si>
  <si>
    <t>59.75 - 61.82</t>
  </si>
  <si>
    <t>13,014,920</t>
  </si>
  <si>
    <t>11,301,463</t>
  </si>
  <si>
    <t>121.759B</t>
  </si>
  <si>
    <t>12.45</t>
  </si>
  <si>
    <t>1.28 (4.21%)</t>
  </si>
  <si>
    <t>30.76</t>
  </si>
  <si>
    <t>30.53</t>
  </si>
  <si>
    <t>0.00 x 2900</t>
  </si>
  <si>
    <t>30.35 - 30.83</t>
  </si>
  <si>
    <t>4,035,544</t>
  </si>
  <si>
    <t>4,588,812</t>
  </si>
  <si>
    <t>166.367B</t>
  </si>
  <si>
    <t>43.36</t>
  </si>
  <si>
    <t>5.16 (5.67%)</t>
  </si>
  <si>
    <t>91.04</t>
  </si>
  <si>
    <t>90.47</t>
  </si>
  <si>
    <t>0.00 x 800</t>
  </si>
  <si>
    <t>0.00 x 900</t>
  </si>
  <si>
    <t>88.77 - 91.17</t>
  </si>
  <si>
    <t>6,454,259</t>
  </si>
  <si>
    <t>9,323,855</t>
  </si>
  <si>
    <t>277.63</t>
  </si>
  <si>
    <t>277.20</t>
  </si>
  <si>
    <t>0.00 x 1100</t>
  </si>
  <si>
    <t>276.63 - 283.29</t>
  </si>
  <si>
    <t>1,544,420</t>
  </si>
  <si>
    <t>2,279,766</t>
  </si>
  <si>
    <t>137.121B</t>
  </si>
  <si>
    <t>38.68</t>
  </si>
  <si>
    <t>5.60 (2.02%)</t>
  </si>
  <si>
    <t>284.20</t>
  </si>
  <si>
    <t>656.537B</t>
  </si>
  <si>
    <t>31.58</t>
  </si>
  <si>
    <t>Jul 30, 2020</t>
  </si>
  <si>
    <t>257.35</t>
  </si>
  <si>
    <t>233.50</t>
  </si>
  <si>
    <t>234.63</t>
  </si>
  <si>
    <t>229.84 - 234.96</t>
  </si>
  <si>
    <t>14,170,112</t>
  </si>
  <si>
    <t>1,539.60</t>
  </si>
  <si>
    <t>1,504.00</t>
  </si>
  <si>
    <t>1,474.42 - 1,564.46</t>
  </si>
  <si>
    <t>15,808,700</t>
  </si>
  <si>
    <t>14,634,190</t>
  </si>
  <si>
    <t>273.852B</t>
  </si>
  <si>
    <t>768.20</t>
  </si>
  <si>
    <t>1,191.98</t>
  </si>
  <si>
    <t>25,081,566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</si>
</sst>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5" formatCode="_([$$-409]* #,##0.00_);_([$$-409]* \(#,##0.00\);_([$$-409]* &quot;-&quot;??_);_(@_)"/>
    <numFmt numFmtId="166" formatCode="0%;[Red]\(0%\)"/>
    <numFmt numFmtId="167" formatCode="&quot;$&quot;#,##0.00"/>
  </numFmts>
  <fonts count="7" x14ac:knownFonts="1">
    <font>
      <sz val="11"/>
      <color theme="1"/>
      <name val="Calibri"/>
      <family val="2"/>
      <scheme val="minor"/>
    </font>
    <font>
      <sz val="11"/>
      <color theme="1"/>
      <name val="Calibri"/>
      <family val="2"/>
      <scheme val="minor"/>
    </font>
    <font>
      <sz val="11"/>
      <name val="Calibri"/>
      <family val="2"/>
      <scheme val="minor"/>
    </font>
    <font>
      <sz val="11"/>
      <color theme="0"/>
      <name val="Calibri"/>
      <family val="2"/>
      <scheme val="minor"/>
    </font>
    <font>
      <sz val="16"/>
      <name val="Calibri"/>
      <family val="2"/>
      <scheme val="minor"/>
    </font>
    <font>
      <b/>
      <sz val="12"/>
      <name val="Calibri"/>
      <family val="2"/>
      <scheme val="minor"/>
    </font>
    <font>
      <b/>
      <sz val="12"/>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9"/>
        <bgColor indexed="64"/>
      </patternFill>
    </fill>
  </fills>
  <borders count="2">
    <border>
      <left/>
      <right/>
      <top/>
      <bottom/>
      <diagonal/>
    </border>
    <border>
      <left/>
      <right style="thin">
        <color indexed="64"/>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0" fillId="2" borderId="0" xfId="0" applyFill="1"/>
    <xf numFmtId="0" fontId="0" fillId="2" borderId="0" xfId="0" applyFill="1" applyBorder="1"/>
    <xf numFmtId="44" fontId="0" fillId="2" borderId="0" xfId="1" applyFont="1" applyFill="1" applyBorder="1" applyAlignment="1">
      <alignment horizontal="right"/>
    </xf>
    <xf numFmtId="165" fontId="0" fillId="2" borderId="0" xfId="0" applyNumberFormat="1" applyFill="1" applyBorder="1"/>
    <xf numFmtId="9" fontId="0" fillId="2" borderId="0" xfId="2" applyFont="1" applyFill="1" applyBorder="1" applyAlignment="1">
      <alignment horizontal="center"/>
    </xf>
    <xf numFmtId="44" fontId="0" fillId="2" borderId="0" xfId="1" applyFont="1" applyFill="1" applyBorder="1" applyAlignment="1">
      <alignment horizontal="center"/>
    </xf>
    <xf numFmtId="166" fontId="0" fillId="2" borderId="0" xfId="2" applyNumberFormat="1" applyFont="1" applyFill="1" applyBorder="1" applyAlignment="1">
      <alignment horizontal="center"/>
    </xf>
    <xf numFmtId="0" fontId="0" fillId="2" borderId="0" xfId="0" applyFill="1" applyBorder="1" applyAlignment="1">
      <alignment horizontal="center"/>
    </xf>
    <xf numFmtId="0" fontId="0" fillId="0" borderId="0" xfId="0" applyBorder="1" applyAlignment="1">
      <alignment horizontal="center"/>
    </xf>
    <xf numFmtId="3" fontId="0" fillId="2" borderId="0" xfId="0" applyNumberFormat="1" applyFill="1" applyBorder="1" applyAlignment="1">
      <alignment horizontal="center"/>
    </xf>
    <xf numFmtId="44" fontId="0" fillId="2" borderId="0" xfId="1" applyFont="1" applyFill="1" applyBorder="1" applyAlignment="1">
      <alignment horizontal="left"/>
    </xf>
    <xf numFmtId="165" fontId="0" fillId="2" borderId="0" xfId="0" applyNumberFormat="1" applyFill="1" applyBorder="1" applyAlignment="1">
      <alignment horizontal="left"/>
    </xf>
    <xf numFmtId="165" fontId="0" fillId="2" borderId="0" xfId="0" applyNumberFormat="1" applyFill="1" applyBorder="1" applyAlignment="1">
      <alignment horizontal="center"/>
    </xf>
    <xf numFmtId="0" fontId="0" fillId="0" borderId="0" xfId="0" applyNumberFormat="1"/>
    <xf numFmtId="165" fontId="0" fillId="2" borderId="1" xfId="0" applyNumberFormat="1" applyFill="1" applyBorder="1"/>
    <xf numFmtId="165" fontId="0" fillId="2" borderId="0" xfId="0" applyNumberFormat="1" applyFill="1" applyBorder="1" applyAlignment="1">
      <alignment vertical="top"/>
    </xf>
    <xf numFmtId="0" fontId="0" fillId="0" borderId="1" xfId="0" applyBorder="1" applyAlignment="1">
      <alignment horizontal="center"/>
    </xf>
    <xf numFmtId="14" fontId="0" fillId="0" borderId="0" xfId="0" applyNumberFormat="1"/>
    <xf numFmtId="0" fontId="2" fillId="2" borderId="0" xfId="0" applyFont="1" applyFill="1"/>
    <xf numFmtId="165" fontId="0" fillId="2" borderId="0" xfId="0" applyNumberFormat="1" applyFill="1" applyAlignment="1">
      <alignment horizontal="left"/>
    </xf>
    <xf numFmtId="165" fontId="0" fillId="2" borderId="1" xfId="0" applyNumberFormat="1" applyFill="1" applyBorder="1" applyAlignment="1">
      <alignment horizontal="center"/>
    </xf>
    <xf numFmtId="165" fontId="0" fillId="0" borderId="0" xfId="0" applyNumberFormat="1"/>
    <xf numFmtId="165" fontId="0" fillId="2" borderId="0" xfId="0" applyNumberFormat="1" applyFill="1" applyAlignment="1">
      <alignment vertical="top"/>
    </xf>
    <xf numFmtId="3" fontId="0" fillId="2" borderId="0" xfId="0" applyNumberFormat="1" applyFill="1"/>
    <xf numFmtId="0" fontId="0" fillId="0" borderId="0" xfId="0" applyAlignment="1">
      <alignment horizontal="center"/>
    </xf>
    <xf numFmtId="165" fontId="0" fillId="0" borderId="0" xfId="0" applyNumberFormat="1" applyAlignment="1">
      <alignment horizontal="center"/>
    </xf>
    <xf numFmtId="44" fontId="0" fillId="2" borderId="0" xfId="0" applyNumberFormat="1" applyFont="1" applyFill="1" applyBorder="1" applyAlignment="1">
      <alignment horizontal="left"/>
    </xf>
    <xf numFmtId="0" fontId="0" fillId="2" borderId="0" xfId="0" applyFill="1" applyBorder="1" applyAlignment="1">
      <alignment horizontal="left"/>
    </xf>
    <xf numFmtId="10" fontId="0" fillId="2" borderId="0" xfId="2" applyNumberFormat="1" applyFont="1" applyFill="1" applyBorder="1" applyAlignment="1">
      <alignment horizontal="center"/>
    </xf>
    <xf numFmtId="0" fontId="0" fillId="0" borderId="0" xfId="0" pivotButton="1" applyAlignment="1">
      <alignment horizontal="center"/>
    </xf>
    <xf numFmtId="10" fontId="0" fillId="0" borderId="0" xfId="0" applyNumberFormat="1" applyAlignment="1">
      <alignment horizontal="center"/>
    </xf>
    <xf numFmtId="167" fontId="0" fillId="0" borderId="0" xfId="0" applyNumberFormat="1" applyAlignment="1">
      <alignment horizontal="center"/>
    </xf>
    <xf numFmtId="0" fontId="3" fillId="3" borderId="0" xfId="0" applyFont="1" applyFill="1" applyBorder="1" applyAlignment="1">
      <alignment horizontal="center" vertical="center"/>
    </xf>
    <xf numFmtId="0" fontId="3" fillId="3" borderId="0" xfId="0" applyFont="1" applyFill="1" applyBorder="1" applyAlignment="1">
      <alignment horizontal="center"/>
    </xf>
    <xf numFmtId="10" fontId="4" fillId="2" borderId="0" xfId="2" applyNumberFormat="1" applyFont="1" applyFill="1" applyAlignment="1">
      <alignment horizontal="center"/>
    </xf>
    <xf numFmtId="0" fontId="0" fillId="0" borderId="0" xfId="0" applyNumberFormat="1" applyBorder="1"/>
    <xf numFmtId="0" fontId="3" fillId="2" borderId="0" xfId="0" applyFont="1" applyFill="1" applyAlignment="1">
      <alignment horizontal="center"/>
    </xf>
    <xf numFmtId="0" fontId="3" fillId="2" borderId="0" xfId="0" applyNumberFormat="1" applyFont="1" applyFill="1" applyBorder="1" applyAlignment="1">
      <alignment horizontal="center"/>
    </xf>
    <xf numFmtId="0" fontId="0" fillId="2" borderId="0" xfId="0" applyNumberFormat="1" applyFill="1" applyBorder="1"/>
    <xf numFmtId="0" fontId="5" fillId="2" borderId="0" xfId="0" applyFont="1" applyFill="1"/>
    <xf numFmtId="0" fontId="6" fillId="0" borderId="0" xfId="0" applyNumberFormat="1" applyFont="1" applyBorder="1"/>
    <xf numFmtId="10" fontId="0" fillId="2" borderId="0" xfId="0" applyNumberFormat="1" applyFont="1" applyFill="1" applyBorder="1" applyAlignment="1">
      <alignment horizontal="center"/>
    </xf>
    <xf numFmtId="44" fontId="4" fillId="2" borderId="0" xfId="1" applyFont="1" applyFill="1" applyAlignment="1">
      <alignment horizontal="left"/>
    </xf>
  </cellXfs>
  <cellStyles count="3">
    <cellStyle name="Currency" xfId="1" builtinId="4"/>
    <cellStyle name="Normal" xfId="0" builtinId="0"/>
    <cellStyle name="Percent" xfId="2" builtinId="5"/>
  </cellStyles>
  <dxfs count="144">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65" formatCode="_([$$-409]* #,##0.00_);_([$$-409]* \(#,##0.00\);_([$$-409]* &quot;-&quot;??_);_(@_)"/>
      <fill>
        <patternFill patternType="solid">
          <fgColor indexed="64"/>
          <bgColor theme="0"/>
        </patternFill>
      </fill>
      <border diagonalUp="0" diagonalDown="0" outline="0">
        <left/>
        <right style="thin">
          <color indexed="64"/>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3" formatCode="#,##0"/>
      <fill>
        <patternFill patternType="solid">
          <fgColor indexed="64"/>
          <bgColor theme="0"/>
        </patternFill>
      </fill>
    </dxf>
    <dxf>
      <numFmt numFmtId="165" formatCode="_([$$-409]* #,##0.00_);_([$$-409]* \(#,##0.00\);_([$$-409]* &quot;-&quot;??_);_(@_)"/>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dxf>
    <dxf>
      <fill>
        <patternFill patternType="solid">
          <fgColor indexed="64"/>
          <bgColor theme="0"/>
        </patternFill>
      </fill>
    </dxf>
    <dxf>
      <font>
        <color rgb="FF006100"/>
      </font>
      <fill>
        <patternFill>
          <bgColor rgb="FFC6EFCE"/>
        </patternFill>
      </fill>
    </dxf>
    <dxf>
      <font>
        <color rgb="FF006100"/>
      </font>
      <fill>
        <patternFill>
          <bgColor rgb="FFC6EFCE"/>
        </patternFill>
      </fill>
    </dxf>
    <dxf>
      <alignment horizontal="center"/>
    </dxf>
    <dxf>
      <alignment horizontal="center"/>
    </dxf>
    <dxf>
      <alignment horizontal="center"/>
    </dxf>
    <dxf>
      <alignment horizontal="center"/>
    </dxf>
    <dxf>
      <alignment horizontal="center"/>
    </dxf>
    <dxf>
      <alignment horizontal="center"/>
    </dxf>
    <dxf>
      <numFmt numFmtId="14" formatCode="0.00%"/>
    </dxf>
    <dxf>
      <numFmt numFmtId="167" formatCode="&quot;$&quot;#,##0.00"/>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border diagonalUp="0" diagonalDown="0">
        <left style="thin">
          <color indexed="64"/>
        </left>
        <right style="thin">
          <color indexed="64"/>
        </right>
        <top/>
        <bottom/>
      </border>
    </dxf>
    <dxf>
      <fill>
        <patternFill patternType="solid">
          <fgColor indexed="64"/>
          <bgColor theme="0"/>
        </patternFill>
      </fill>
    </dxf>
    <dxf>
      <alignment horizontal="center" vertical="bottom" textRotation="0" wrapText="0" indent="0" justifyLastLine="0" shrinkToFit="0" readingOrder="0"/>
    </dxf>
    <dxf>
      <numFmt numFmtId="166" formatCode="0%;[Red]\(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border diagonalUp="0" diagonalDown="0">
        <left style="thin">
          <color indexed="64"/>
        </left>
        <right style="thin">
          <color indexed="64"/>
        </right>
        <top/>
        <bottom/>
      </border>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9"/>
        </patternFill>
      </fill>
      <alignment horizontal="center" vertical="center" textRotation="0" wrapText="0" indent="0" justifyLastLine="0" shrinkToFit="0" readingOrder="0"/>
    </dxf>
    <dxf>
      <fill>
        <patternFill patternType="solid">
          <fgColor indexed="64"/>
          <bgColor theme="0"/>
        </patternFill>
      </fill>
      <alignment horizontal="right" vertical="bottom" textRotation="0" wrapText="0" indent="0" justifyLastLine="0" shrinkToFit="0" readingOrder="0"/>
    </dxf>
    <dxf>
      <border diagonalUp="0" diagonalDown="0">
        <left style="thin">
          <color indexed="64"/>
        </left>
        <right style="thin">
          <color indexed="64"/>
        </right>
        <top/>
        <bottom/>
      </border>
    </dxf>
    <dxf>
      <fill>
        <patternFill patternType="solid">
          <fgColor indexed="64"/>
          <bgColor theme="0"/>
        </patternFill>
      </fill>
      <alignment horizontal="right"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9"/>
        </patternFill>
      </fill>
      <alignment horizontal="center" vertical="bottom" textRotation="0" wrapText="0" indent="0" justifyLastLine="0" shrinkToFit="0" readingOrder="0"/>
    </dxf>
    <dxf>
      <numFmt numFmtId="165" formatCode="_([$$-409]* #,##0.00_);_([$$-409]* \(#,##0.00\);_([$$-409]* &quot;-&quot;??_);_(@_)"/>
      <fill>
        <patternFill patternType="solid">
          <fgColor indexed="64"/>
          <bgColor theme="0"/>
        </patternFill>
      </fill>
      <border diagonalUp="0" diagonalDown="0" outline="0">
        <left/>
        <right style="thin">
          <color indexed="64"/>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3" formatCode="#,##0"/>
      <fill>
        <patternFill patternType="solid">
          <fgColor indexed="64"/>
          <bgColor theme="0"/>
        </patternFill>
      </fill>
    </dxf>
    <dxf>
      <numFmt numFmtId="165" formatCode="_([$$-409]* #,##0.00_);_([$$-409]* \(#,##0.00\);_([$$-409]* &quot;-&quot;??_);_(@_)"/>
      <fill>
        <patternFill patternType="solid">
          <fgColor indexed="64"/>
          <bgColor theme="0"/>
        </patternFill>
      </fill>
      <alignment horizontal="general" vertical="top"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0%;[Red]\(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border diagonalUp="0" diagonalDown="0">
        <left style="thin">
          <color indexed="64"/>
        </left>
        <right style="thin">
          <color indexed="64"/>
        </right>
        <top/>
        <bottom/>
      </border>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9"/>
        </patternFill>
      </fill>
      <alignment horizontal="center" vertical="center"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dxf>
    <dxf>
      <border diagonalUp="0" diagonalDown="0">
        <left style="thin">
          <color indexed="64"/>
        </left>
        <right style="thin">
          <color indexed="64"/>
        </right>
        <top/>
        <bottom/>
      </border>
    </dxf>
    <dxf>
      <fill>
        <patternFill patternType="solid">
          <fgColor indexed="64"/>
          <bgColor theme="0"/>
        </patternFill>
      </fill>
    </dxf>
    <dxf>
      <alignment horizontal="center" vertical="bottom" textRotation="0" wrapText="0" indent="0" justifyLastLine="0" shrinkToFit="0" readingOrder="0"/>
    </dxf>
    <dxf>
      <fill>
        <patternFill patternType="solid">
          <fgColor indexed="64"/>
          <bgColor theme="0"/>
        </patternFill>
      </fill>
      <alignment horizontal="right" vertical="bottom" textRotation="0" wrapText="0" indent="0" justifyLastLine="0" shrinkToFit="0" readingOrder="0"/>
    </dxf>
    <dxf>
      <border diagonalUp="0" diagonalDown="0">
        <left style="thin">
          <color indexed="64"/>
        </left>
        <right style="thin">
          <color indexed="64"/>
        </right>
        <top/>
        <bottom/>
      </border>
    </dxf>
    <dxf>
      <fill>
        <patternFill patternType="solid">
          <fgColor indexed="64"/>
          <bgColor theme="0"/>
        </patternFill>
      </fill>
      <alignment horizontal="right"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9"/>
        </patternFill>
      </fill>
      <alignment horizontal="center"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numFmt numFmtId="165" formatCode="_([$$-409]* #,##0.00_);_([$$-409]* \(#,##0.00\);_([$$-409]*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numFmt numFmtId="14" formatCode="0.00%"/>
      <fill>
        <patternFill patternType="solid">
          <fgColor indexed="64"/>
          <bgColor theme="0"/>
        </patternFill>
      </fill>
      <alignment horizontal="center"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165" formatCode="_([$$-409]* #,##0.00_);_([$$-409]* \(#,##0.00\);_([$$-409]* &quot;-&quot;??_);_(@_)"/>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numFmt numFmtId="165" formatCode="_([$$-409]* #,##0.00_);_([$$-409]* \(#,##0.00\);_([$$-409]* &quot;-&quot;??_);_(@_)"/>
      <fill>
        <patternFill patternType="solid">
          <fgColor indexed="64"/>
          <bgColor theme="0"/>
        </patternFill>
      </fill>
      <alignment horizontal="left" vertical="bottom" textRotation="0" wrapText="0" indent="0" justifyLastLine="0" shrinkToFit="0" readingOrder="0"/>
    </dxf>
    <dxf>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numFmt numFmtId="3" formatCode="#,##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fill>
        <patternFill patternType="solid">
          <fgColor indexed="64"/>
          <bgColor theme="0"/>
        </patternFill>
      </fill>
      <alignment horizontal="left" vertical="bottom" textRotation="0" wrapText="0" indent="0" justifyLastLine="0" shrinkToFit="0" readingOrder="0"/>
    </dxf>
    <dxf>
      <numFmt numFmtId="3" formatCode="#,##0"/>
      <fill>
        <patternFill patternType="solid">
          <fgColor indexed="64"/>
          <bgColor theme="0"/>
        </patternFill>
      </fill>
      <alignment horizontal="center" vertical="bottom" textRotation="0" wrapText="0" indent="0" justifyLastLine="0" shrinkToFit="0" readingOrder="0"/>
      <border diagonalUp="0" diagonalDown="0" outline="0">
        <left/>
        <right/>
        <top/>
        <bottom/>
      </border>
    </dxf>
    <dxf>
      <numFmt numFmtId="3" formatCode="#,##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border diagonalUp="0" diagonalDown="0" outline="0">
        <left/>
        <right/>
        <top/>
        <bottom/>
      </border>
    </dxf>
    <dxf>
      <fill>
        <patternFill patternType="solid">
          <fgColor indexed="64"/>
          <bgColor theme="0"/>
        </patternFill>
      </fill>
      <alignment horizontal="left" vertical="bottom" textRotation="0" wrapText="0" indent="0" justifyLastLine="0" shrinkToFit="0" readingOrder="0"/>
    </dxf>
    <dxf>
      <border diagonalUp="0" diagonalDown="0">
        <left style="thin">
          <color indexed="64"/>
        </left>
        <right style="thin">
          <color indexed="64"/>
        </right>
        <top/>
        <bottom/>
      </border>
    </dxf>
    <dxf>
      <fill>
        <patternFill patternType="solid">
          <fgColor indexed="64"/>
          <bgColor theme="0"/>
        </patternFill>
      </fill>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microsoft.com/office/2006/relationships/vbaProject" Target="vbaProject.bin"/><Relationship Id="rId10" Type="http://schemas.openxmlformats.org/officeDocument/2006/relationships/connections" Target="connection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Tesla</a:t>
            </a:r>
          </a:p>
        </c:rich>
      </c:tx>
      <c:layout>
        <c:manualLayout>
          <c:xMode val="edge"/>
          <c:yMode val="edge"/>
          <c:x val="7.0022005771507426E-2"/>
          <c:y val="6.56456642028282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Data'!$A$8:$A$48</c:f>
              <c:numCache>
                <c:formatCode>m/d/yyyy</c:formatCode>
                <c:ptCount val="4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numCache>
            </c:numRef>
          </c:cat>
          <c:val>
            <c:numRef>
              <c:f>'Stock Data'!$C$8:$C$48</c:f>
              <c:numCache>
                <c:formatCode>General</c:formatCode>
                <c:ptCount val="41"/>
                <c:pt idx="0">
                  <c:v>1531.71</c:v>
                </c:pt>
                <c:pt idx="1">
                  <c:v>1550</c:v>
                </c:pt>
                <c:pt idx="2">
                  <c:v>1590</c:v>
                </c:pt>
                <c:pt idx="3">
                  <c:v>1794.99</c:v>
                </c:pt>
                <c:pt idx="4">
                  <c:v>1548.92</c:v>
                </c:pt>
                <c:pt idx="5">
                  <c:v>1408.56</c:v>
                </c:pt>
                <c:pt idx="6">
                  <c:v>1417.26</c:v>
                </c:pt>
                <c:pt idx="7">
                  <c:v>1429.5</c:v>
                </c:pt>
                <c:pt idx="8">
                  <c:v>1377.79</c:v>
                </c:pt>
                <c:pt idx="9">
                  <c:v>1228</c:v>
                </c:pt>
                <c:pt idx="10">
                  <c:v>1135.33</c:v>
                </c:pt>
                <c:pt idx="11">
                  <c:v>1087.69</c:v>
                </c:pt>
                <c:pt idx="12">
                  <c:v>1010</c:v>
                </c:pt>
                <c:pt idx="13">
                  <c:v>995</c:v>
                </c:pt>
                <c:pt idx="14">
                  <c:v>985.98</c:v>
                </c:pt>
                <c:pt idx="15">
                  <c:v>1000.88</c:v>
                </c:pt>
                <c:pt idx="16">
                  <c:v>1012</c:v>
                </c:pt>
                <c:pt idx="17">
                  <c:v>1008.88</c:v>
                </c:pt>
                <c:pt idx="18">
                  <c:v>1015.97</c:v>
                </c:pt>
                <c:pt idx="19">
                  <c:v>1019.2</c:v>
                </c:pt>
                <c:pt idx="20">
                  <c:v>1005</c:v>
                </c:pt>
                <c:pt idx="21">
                  <c:v>1012.88</c:v>
                </c:pt>
                <c:pt idx="22">
                  <c:v>998.84</c:v>
                </c:pt>
                <c:pt idx="23">
                  <c:v>987.98</c:v>
                </c:pt>
                <c:pt idx="24">
                  <c:v>1018.96</c:v>
                </c:pt>
                <c:pt idx="25">
                  <c:v>1027.48</c:v>
                </c:pt>
                <c:pt idx="26">
                  <c:v>954.44</c:v>
                </c:pt>
                <c:pt idx="27">
                  <c:v>950</c:v>
                </c:pt>
                <c:pt idx="28">
                  <c:v>886.52</c:v>
                </c:pt>
                <c:pt idx="29">
                  <c:v>895.75</c:v>
                </c:pt>
                <c:pt idx="30">
                  <c:v>897.94</c:v>
                </c:pt>
                <c:pt idx="31">
                  <c:v>908.66</c:v>
                </c:pt>
                <c:pt idx="32">
                  <c:v>899</c:v>
                </c:pt>
                <c:pt idx="33">
                  <c:v>835</c:v>
                </c:pt>
                <c:pt idx="34">
                  <c:v>824.75</c:v>
                </c:pt>
                <c:pt idx="35">
                  <c:v>827.71</c:v>
                </c:pt>
                <c:pt idx="36">
                  <c:v>834.6</c:v>
                </c:pt>
                <c:pt idx="37">
                  <c:v>831.78</c:v>
                </c:pt>
                <c:pt idx="38">
                  <c:v>832.5</c:v>
                </c:pt>
                <c:pt idx="39">
                  <c:v>826</c:v>
                </c:pt>
                <c:pt idx="40">
                  <c:v>822.07</c:v>
                </c:pt>
              </c:numCache>
            </c:numRef>
          </c:val>
          <c:extLst>
            <c:ext xmlns:c16="http://schemas.microsoft.com/office/drawing/2014/chart" uri="{C3380CC4-5D6E-409C-BE32-E72D297353CC}">
              <c16:uniqueId val="{00000000-1D6C-4B77-B93A-3146F7655A0E}"/>
            </c:ext>
          </c:extLst>
        </c:ser>
        <c:dLbls>
          <c:showLegendKey val="0"/>
          <c:showVal val="0"/>
          <c:showCatName val="0"/>
          <c:showSerName val="0"/>
          <c:showPercent val="0"/>
          <c:showBubbleSize val="0"/>
        </c:dLbls>
        <c:gapWidth val="150"/>
        <c:axId val="1062435824"/>
        <c:axId val="1062436480"/>
      </c:barChart>
      <c:stockChart>
        <c:ser>
          <c:idx val="1"/>
          <c:order val="1"/>
          <c:tx>
            <c:v>Low</c:v>
          </c:tx>
          <c:spPr>
            <a:ln w="19050" cap="rnd">
              <a:noFill/>
              <a:round/>
            </a:ln>
            <a:effectLst/>
          </c:spPr>
          <c:marker>
            <c:symbol val="none"/>
          </c:marker>
          <c:cat>
            <c:numRef>
              <c:f>'Stock Data'!$A$8:$A$48</c:f>
              <c:numCache>
                <c:formatCode>m/d/yyyy</c:formatCode>
                <c:ptCount val="4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numCache>
            </c:numRef>
          </c:cat>
          <c:val>
            <c:numRef>
              <c:f>'Stock Data'!$D$8:$D$48</c:f>
              <c:numCache>
                <c:formatCode>General</c:formatCode>
                <c:ptCount val="41"/>
                <c:pt idx="0">
                  <c:v>1466</c:v>
                </c:pt>
                <c:pt idx="1">
                  <c:v>1457</c:v>
                </c:pt>
                <c:pt idx="2">
                  <c:v>1431</c:v>
                </c:pt>
                <c:pt idx="3">
                  <c:v>1471.11</c:v>
                </c:pt>
                <c:pt idx="4">
                  <c:v>1376.01</c:v>
                </c:pt>
                <c:pt idx="5">
                  <c:v>1351.28</c:v>
                </c:pt>
                <c:pt idx="6">
                  <c:v>1311.34</c:v>
                </c:pt>
                <c:pt idx="7">
                  <c:v>1336.71</c:v>
                </c:pt>
                <c:pt idx="8">
                  <c:v>1266.04</c:v>
                </c:pt>
                <c:pt idx="9">
                  <c:v>1185.5999999999999</c:v>
                </c:pt>
                <c:pt idx="10">
                  <c:v>1080.5</c:v>
                </c:pt>
                <c:pt idx="11">
                  <c:v>1003.73</c:v>
                </c:pt>
                <c:pt idx="12">
                  <c:v>948.52</c:v>
                </c:pt>
                <c:pt idx="13">
                  <c:v>954.87</c:v>
                </c:pt>
                <c:pt idx="14">
                  <c:v>937.15</c:v>
                </c:pt>
                <c:pt idx="15">
                  <c:v>953.14</c:v>
                </c:pt>
                <c:pt idx="16">
                  <c:v>994.01</c:v>
                </c:pt>
                <c:pt idx="17">
                  <c:v>990.02</c:v>
                </c:pt>
                <c:pt idx="18">
                  <c:v>991.34</c:v>
                </c:pt>
                <c:pt idx="19">
                  <c:v>994.47</c:v>
                </c:pt>
                <c:pt idx="20">
                  <c:v>982.57</c:v>
                </c:pt>
                <c:pt idx="21">
                  <c:v>962.39</c:v>
                </c:pt>
                <c:pt idx="22">
                  <c:v>908.5</c:v>
                </c:pt>
                <c:pt idx="23">
                  <c:v>912.6</c:v>
                </c:pt>
                <c:pt idx="24">
                  <c:v>972</c:v>
                </c:pt>
                <c:pt idx="25">
                  <c:v>982.5</c:v>
                </c:pt>
                <c:pt idx="26">
                  <c:v>923.93</c:v>
                </c:pt>
                <c:pt idx="27">
                  <c:v>909.16</c:v>
                </c:pt>
                <c:pt idx="28">
                  <c:v>866.2</c:v>
                </c:pt>
                <c:pt idx="29">
                  <c:v>858.44</c:v>
                </c:pt>
                <c:pt idx="30">
                  <c:v>880.1</c:v>
                </c:pt>
                <c:pt idx="31">
                  <c:v>871</c:v>
                </c:pt>
                <c:pt idx="32">
                  <c:v>854.1</c:v>
                </c:pt>
                <c:pt idx="33">
                  <c:v>804.21</c:v>
                </c:pt>
                <c:pt idx="34">
                  <c:v>801.69</c:v>
                </c:pt>
                <c:pt idx="35">
                  <c:v>785</c:v>
                </c:pt>
                <c:pt idx="36">
                  <c:v>815.71</c:v>
                </c:pt>
                <c:pt idx="37">
                  <c:v>812</c:v>
                </c:pt>
                <c:pt idx="38">
                  <c:v>796</c:v>
                </c:pt>
                <c:pt idx="39">
                  <c:v>811.8</c:v>
                </c:pt>
                <c:pt idx="40">
                  <c:v>806.08</c:v>
                </c:pt>
              </c:numCache>
            </c:numRef>
          </c:val>
          <c:smooth val="0"/>
          <c:extLst>
            <c:ext xmlns:c16="http://schemas.microsoft.com/office/drawing/2014/chart" uri="{C3380CC4-5D6E-409C-BE32-E72D297353CC}">
              <c16:uniqueId val="{00000001-1D6C-4B77-B93A-3146F7655A0E}"/>
            </c:ext>
          </c:extLst>
        </c:ser>
        <c:ser>
          <c:idx val="2"/>
          <c:order val="2"/>
          <c:tx>
            <c:v>Close</c:v>
          </c:tx>
          <c:spPr>
            <a:ln w="19050" cap="rnd">
              <a:noFill/>
              <a:round/>
            </a:ln>
            <a:effectLst/>
          </c:spPr>
          <c:marker>
            <c:symbol val="none"/>
          </c:marker>
          <c:cat>
            <c:numRef>
              <c:f>'Stock Data'!$A$8:$A$48</c:f>
              <c:numCache>
                <c:formatCode>m/d/yyyy</c:formatCode>
                <c:ptCount val="4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numCache>
            </c:numRef>
          </c:cat>
          <c:val>
            <c:numRef>
              <c:f>'Stock Data'!$E$8:$E$48</c:f>
              <c:numCache>
                <c:formatCode>General</c:formatCode>
                <c:ptCount val="41"/>
                <c:pt idx="0">
                  <c:v>1500.64</c:v>
                </c:pt>
                <c:pt idx="1">
                  <c:v>1546.01</c:v>
                </c:pt>
                <c:pt idx="2">
                  <c:v>1516.8</c:v>
                </c:pt>
                <c:pt idx="3">
                  <c:v>1497.06</c:v>
                </c:pt>
                <c:pt idx="4">
                  <c:v>1544.65</c:v>
                </c:pt>
                <c:pt idx="5">
                  <c:v>1394.28</c:v>
                </c:pt>
                <c:pt idx="6">
                  <c:v>1365.88</c:v>
                </c:pt>
                <c:pt idx="7">
                  <c:v>1389.86</c:v>
                </c:pt>
                <c:pt idx="8">
                  <c:v>1371.58</c:v>
                </c:pt>
                <c:pt idx="9">
                  <c:v>1208.6600000000001</c:v>
                </c:pt>
                <c:pt idx="10">
                  <c:v>1119.6300000000001</c:v>
                </c:pt>
                <c:pt idx="11">
                  <c:v>1079.81</c:v>
                </c:pt>
                <c:pt idx="12">
                  <c:v>1009.35</c:v>
                </c:pt>
                <c:pt idx="13">
                  <c:v>959.74</c:v>
                </c:pt>
                <c:pt idx="14">
                  <c:v>985.98</c:v>
                </c:pt>
                <c:pt idx="15">
                  <c:v>960.85</c:v>
                </c:pt>
                <c:pt idx="16">
                  <c:v>1001.78</c:v>
                </c:pt>
                <c:pt idx="17">
                  <c:v>994.32</c:v>
                </c:pt>
                <c:pt idx="18">
                  <c:v>1000.9</c:v>
                </c:pt>
                <c:pt idx="19">
                  <c:v>1003.96</c:v>
                </c:pt>
                <c:pt idx="20">
                  <c:v>991.79</c:v>
                </c:pt>
                <c:pt idx="21">
                  <c:v>982.13</c:v>
                </c:pt>
                <c:pt idx="22">
                  <c:v>990.9</c:v>
                </c:pt>
                <c:pt idx="23">
                  <c:v>935.28</c:v>
                </c:pt>
                <c:pt idx="24">
                  <c:v>972.84</c:v>
                </c:pt>
                <c:pt idx="25">
                  <c:v>1025.05</c:v>
                </c:pt>
                <c:pt idx="26">
                  <c:v>940.67</c:v>
                </c:pt>
                <c:pt idx="27">
                  <c:v>949.92</c:v>
                </c:pt>
                <c:pt idx="28">
                  <c:v>885.66</c:v>
                </c:pt>
                <c:pt idx="29">
                  <c:v>864.38</c:v>
                </c:pt>
                <c:pt idx="30">
                  <c:v>882.96</c:v>
                </c:pt>
                <c:pt idx="31">
                  <c:v>881.56</c:v>
                </c:pt>
                <c:pt idx="32">
                  <c:v>898.1</c:v>
                </c:pt>
                <c:pt idx="33">
                  <c:v>835</c:v>
                </c:pt>
                <c:pt idx="34">
                  <c:v>805.81</c:v>
                </c:pt>
                <c:pt idx="35">
                  <c:v>820.23</c:v>
                </c:pt>
                <c:pt idx="36">
                  <c:v>818.87</c:v>
                </c:pt>
                <c:pt idx="37">
                  <c:v>816.88</c:v>
                </c:pt>
                <c:pt idx="38">
                  <c:v>827.6</c:v>
                </c:pt>
                <c:pt idx="39">
                  <c:v>815.56</c:v>
                </c:pt>
                <c:pt idx="40">
                  <c:v>808.01</c:v>
                </c:pt>
              </c:numCache>
            </c:numRef>
          </c:val>
          <c:smooth val="0"/>
          <c:extLst>
            <c:ext xmlns:c16="http://schemas.microsoft.com/office/drawing/2014/chart" uri="{C3380CC4-5D6E-409C-BE32-E72D297353CC}">
              <c16:uniqueId val="{00000002-1D6C-4B77-B93A-3146F7655A0E}"/>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cat>
            <c:numRef>
              <c:f>'Stock Data'!$A$8:$A$48</c:f>
              <c:numCache>
                <c:formatCode>m/d/yyyy</c:formatCode>
                <c:ptCount val="4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numCache>
            </c:numRef>
          </c:cat>
          <c:val>
            <c:numRef>
              <c:f>'Stock Data'!$G$8:$G$48</c:f>
              <c:numCache>
                <c:formatCode>General</c:formatCode>
                <c:ptCount val="41"/>
                <c:pt idx="0">
                  <c:v>14300800</c:v>
                </c:pt>
                <c:pt idx="1">
                  <c:v>16367800</c:v>
                </c:pt>
                <c:pt idx="2">
                  <c:v>23418100</c:v>
                </c:pt>
                <c:pt idx="3">
                  <c:v>38985400</c:v>
                </c:pt>
                <c:pt idx="4">
                  <c:v>23337600</c:v>
                </c:pt>
                <c:pt idx="5">
                  <c:v>11717600</c:v>
                </c:pt>
                <c:pt idx="6">
                  <c:v>16311300</c:v>
                </c:pt>
                <c:pt idx="7">
                  <c:v>21489700</c:v>
                </c:pt>
                <c:pt idx="8">
                  <c:v>20569900</c:v>
                </c:pt>
                <c:pt idx="9">
                  <c:v>17250100</c:v>
                </c:pt>
                <c:pt idx="10">
                  <c:v>13326900</c:v>
                </c:pt>
                <c:pt idx="11">
                  <c:v>16918500</c:v>
                </c:pt>
                <c:pt idx="12">
                  <c:v>9026400</c:v>
                </c:pt>
                <c:pt idx="13">
                  <c:v>8854900</c:v>
                </c:pt>
                <c:pt idx="14">
                  <c:v>9254500</c:v>
                </c:pt>
                <c:pt idx="15">
                  <c:v>10959600</c:v>
                </c:pt>
                <c:pt idx="16">
                  <c:v>6365300</c:v>
                </c:pt>
                <c:pt idx="17">
                  <c:v>6362400</c:v>
                </c:pt>
                <c:pt idx="18">
                  <c:v>8679700</c:v>
                </c:pt>
                <c:pt idx="19">
                  <c:v>9751900</c:v>
                </c:pt>
                <c:pt idx="20">
                  <c:v>9869400</c:v>
                </c:pt>
                <c:pt idx="21">
                  <c:v>14051100</c:v>
                </c:pt>
                <c:pt idx="22">
                  <c:v>15697200</c:v>
                </c:pt>
                <c:pt idx="23">
                  <c:v>16730200</c:v>
                </c:pt>
                <c:pt idx="24">
                  <c:v>15916500</c:v>
                </c:pt>
                <c:pt idx="25">
                  <c:v>18563400</c:v>
                </c:pt>
                <c:pt idx="26">
                  <c:v>11388200</c:v>
                </c:pt>
                <c:pt idx="27">
                  <c:v>14174700</c:v>
                </c:pt>
                <c:pt idx="28">
                  <c:v>7811900</c:v>
                </c:pt>
                <c:pt idx="29">
                  <c:v>8887700</c:v>
                </c:pt>
                <c:pt idx="30">
                  <c:v>7949500</c:v>
                </c:pt>
                <c:pt idx="31">
                  <c:v>13565600</c:v>
                </c:pt>
                <c:pt idx="32">
                  <c:v>14939500</c:v>
                </c:pt>
                <c:pt idx="33">
                  <c:v>11812500</c:v>
                </c:pt>
                <c:pt idx="34">
                  <c:v>7255600</c:v>
                </c:pt>
                <c:pt idx="35">
                  <c:v>11549500</c:v>
                </c:pt>
                <c:pt idx="36">
                  <c:v>8089700</c:v>
                </c:pt>
                <c:pt idx="37">
                  <c:v>9987500</c:v>
                </c:pt>
                <c:pt idx="38">
                  <c:v>12254600</c:v>
                </c:pt>
                <c:pt idx="39">
                  <c:v>7309300</c:v>
                </c:pt>
                <c:pt idx="40">
                  <c:v>9636500</c:v>
                </c:pt>
              </c:numCache>
            </c:numRef>
          </c:val>
          <c:smooth val="0"/>
          <c:extLst>
            <c:ext xmlns:c16="http://schemas.microsoft.com/office/drawing/2014/chart" uri="{C3380CC4-5D6E-409C-BE32-E72D297353CC}">
              <c16:uniqueId val="{00000003-1D6C-4B77-B93A-3146F7655A0E}"/>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1045786128"/>
        <c:axId val="1045784488"/>
      </c:stockChart>
      <c:dateAx>
        <c:axId val="1062435824"/>
        <c:scaling>
          <c:orientation val="minMax"/>
        </c:scaling>
        <c:delete val="0"/>
        <c:axPos val="b"/>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436480"/>
        <c:crosses val="autoZero"/>
        <c:auto val="1"/>
        <c:lblOffset val="100"/>
        <c:baseTimeUnit val="days"/>
      </c:dateAx>
      <c:valAx>
        <c:axId val="1062436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435824"/>
        <c:crosses val="autoZero"/>
        <c:crossBetween val="between"/>
      </c:valAx>
      <c:valAx>
        <c:axId val="104578448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786128"/>
        <c:crosses val="max"/>
        <c:crossBetween val="between"/>
      </c:valAx>
      <c:dateAx>
        <c:axId val="1045786128"/>
        <c:scaling>
          <c:orientation val="minMax"/>
        </c:scaling>
        <c:delete val="1"/>
        <c:axPos val="b"/>
        <c:numFmt formatCode="m/d/yyyy" sourceLinked="1"/>
        <c:majorTickMark val="none"/>
        <c:minorTickMark val="none"/>
        <c:tickLblPos val="nextTo"/>
        <c:crossAx val="1045784488"/>
        <c:crosses val="autoZero"/>
        <c:auto val="1"/>
        <c:lblOffset val="100"/>
        <c:baseTimeUnit val="days"/>
      </c:dateAx>
      <c:spPr>
        <a:noFill/>
        <a:ln>
          <a:noFill/>
        </a:ln>
        <a:effectLst/>
      </c:spPr>
    </c:plotArea>
    <c:legend>
      <c:legendPos val="t"/>
      <c:layout>
        <c:manualLayout>
          <c:xMode val="edge"/>
          <c:yMode val="edge"/>
          <c:x val="0.5072676237326379"/>
          <c:y val="0.25231682493766416"/>
          <c:w val="0.44477076285293154"/>
          <c:h val="0.111941140461023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Nextera Energy</a:t>
            </a:r>
          </a:p>
        </c:rich>
      </c:tx>
      <c:layout>
        <c:manualLayout>
          <c:xMode val="edge"/>
          <c:yMode val="edge"/>
          <c:x val="6.7306810332918909E-2"/>
          <c:y val="6.21762334475497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Data'!$I$8:$I$38</c:f>
              <c:numCache>
                <c:formatCode>m/d/yyyy</c:formatCode>
                <c:ptCount val="3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numCache>
            </c:numRef>
          </c:cat>
          <c:val>
            <c:numRef>
              <c:f>'Stock Data'!$K$8:$K$38</c:f>
              <c:numCache>
                <c:formatCode>General</c:formatCode>
                <c:ptCount val="31"/>
                <c:pt idx="0">
                  <c:v>269.8</c:v>
                </c:pt>
                <c:pt idx="1">
                  <c:v>266.42</c:v>
                </c:pt>
                <c:pt idx="2">
                  <c:v>264.69</c:v>
                </c:pt>
                <c:pt idx="3">
                  <c:v>262.41000000000003</c:v>
                </c:pt>
                <c:pt idx="4">
                  <c:v>261.29000000000002</c:v>
                </c:pt>
                <c:pt idx="5">
                  <c:v>253.37</c:v>
                </c:pt>
                <c:pt idx="6">
                  <c:v>254.14</c:v>
                </c:pt>
                <c:pt idx="7">
                  <c:v>248.34</c:v>
                </c:pt>
                <c:pt idx="8">
                  <c:v>249.15</c:v>
                </c:pt>
                <c:pt idx="9">
                  <c:v>249.72</c:v>
                </c:pt>
                <c:pt idx="10">
                  <c:v>247.5</c:v>
                </c:pt>
                <c:pt idx="11">
                  <c:v>241.81</c:v>
                </c:pt>
                <c:pt idx="12">
                  <c:v>238.49</c:v>
                </c:pt>
                <c:pt idx="13">
                  <c:v>242.06</c:v>
                </c:pt>
                <c:pt idx="14">
                  <c:v>241.32</c:v>
                </c:pt>
                <c:pt idx="15">
                  <c:v>244.48</c:v>
                </c:pt>
                <c:pt idx="16">
                  <c:v>250.25</c:v>
                </c:pt>
                <c:pt idx="17">
                  <c:v>248.2</c:v>
                </c:pt>
                <c:pt idx="18">
                  <c:v>251.64</c:v>
                </c:pt>
                <c:pt idx="19">
                  <c:v>249.92</c:v>
                </c:pt>
                <c:pt idx="20">
                  <c:v>251</c:v>
                </c:pt>
                <c:pt idx="21">
                  <c:v>253.68</c:v>
                </c:pt>
                <c:pt idx="22">
                  <c:v>250.93</c:v>
                </c:pt>
                <c:pt idx="23">
                  <c:v>252.12</c:v>
                </c:pt>
                <c:pt idx="24">
                  <c:v>254.96</c:v>
                </c:pt>
                <c:pt idx="25">
                  <c:v>260.89999999999998</c:v>
                </c:pt>
                <c:pt idx="26">
                  <c:v>259.14999999999998</c:v>
                </c:pt>
                <c:pt idx="27">
                  <c:v>260.74</c:v>
                </c:pt>
                <c:pt idx="28">
                  <c:v>258.56</c:v>
                </c:pt>
                <c:pt idx="29">
                  <c:v>260.55</c:v>
                </c:pt>
                <c:pt idx="30">
                  <c:v>262.26</c:v>
                </c:pt>
              </c:numCache>
            </c:numRef>
          </c:val>
          <c:extLst>
            <c:ext xmlns:c16="http://schemas.microsoft.com/office/drawing/2014/chart" uri="{C3380CC4-5D6E-409C-BE32-E72D297353CC}">
              <c16:uniqueId val="{00000000-0BE4-4195-AC49-DF58E6AFDDFE}"/>
            </c:ext>
          </c:extLst>
        </c:ser>
        <c:dLbls>
          <c:showLegendKey val="0"/>
          <c:showVal val="0"/>
          <c:showCatName val="0"/>
          <c:showSerName val="0"/>
          <c:showPercent val="0"/>
          <c:showBubbleSize val="0"/>
        </c:dLbls>
        <c:gapWidth val="150"/>
        <c:axId val="1068413160"/>
        <c:axId val="1068408568"/>
      </c:barChart>
      <c:stockChart>
        <c:ser>
          <c:idx val="1"/>
          <c:order val="1"/>
          <c:tx>
            <c:v>Low</c:v>
          </c:tx>
          <c:spPr>
            <a:ln w="19050" cap="rnd">
              <a:noFill/>
              <a:round/>
            </a:ln>
            <a:effectLst/>
          </c:spPr>
          <c:marker>
            <c:symbol val="none"/>
          </c:marker>
          <c:val>
            <c:numRef>
              <c:f>'Stock Data'!$L$8:$L$38</c:f>
              <c:numCache>
                <c:formatCode>General</c:formatCode>
                <c:ptCount val="31"/>
                <c:pt idx="0">
                  <c:v>258.75</c:v>
                </c:pt>
                <c:pt idx="1">
                  <c:v>258.81</c:v>
                </c:pt>
                <c:pt idx="2">
                  <c:v>255.86</c:v>
                </c:pt>
                <c:pt idx="3">
                  <c:v>255.39</c:v>
                </c:pt>
                <c:pt idx="4">
                  <c:v>251.77</c:v>
                </c:pt>
                <c:pt idx="5">
                  <c:v>248.56</c:v>
                </c:pt>
                <c:pt idx="6">
                  <c:v>246.12</c:v>
                </c:pt>
                <c:pt idx="7">
                  <c:v>243.64</c:v>
                </c:pt>
                <c:pt idx="8">
                  <c:v>244.58</c:v>
                </c:pt>
                <c:pt idx="9">
                  <c:v>245.75</c:v>
                </c:pt>
                <c:pt idx="10">
                  <c:v>238.31</c:v>
                </c:pt>
                <c:pt idx="11">
                  <c:v>237.5</c:v>
                </c:pt>
                <c:pt idx="12">
                  <c:v>233.76</c:v>
                </c:pt>
                <c:pt idx="13">
                  <c:v>234.81</c:v>
                </c:pt>
                <c:pt idx="14">
                  <c:v>235.57</c:v>
                </c:pt>
                <c:pt idx="15">
                  <c:v>238.52</c:v>
                </c:pt>
                <c:pt idx="16">
                  <c:v>242.31</c:v>
                </c:pt>
                <c:pt idx="17">
                  <c:v>240.55</c:v>
                </c:pt>
                <c:pt idx="18">
                  <c:v>242.21</c:v>
                </c:pt>
                <c:pt idx="19">
                  <c:v>246.35</c:v>
                </c:pt>
                <c:pt idx="20">
                  <c:v>245.71</c:v>
                </c:pt>
                <c:pt idx="21">
                  <c:v>246.67</c:v>
                </c:pt>
                <c:pt idx="22">
                  <c:v>241.33</c:v>
                </c:pt>
                <c:pt idx="23">
                  <c:v>244.24</c:v>
                </c:pt>
                <c:pt idx="24">
                  <c:v>245.87</c:v>
                </c:pt>
                <c:pt idx="25">
                  <c:v>255.57</c:v>
                </c:pt>
                <c:pt idx="26">
                  <c:v>254.06</c:v>
                </c:pt>
                <c:pt idx="27">
                  <c:v>250.57</c:v>
                </c:pt>
                <c:pt idx="28">
                  <c:v>250.01</c:v>
                </c:pt>
                <c:pt idx="29">
                  <c:v>248.08</c:v>
                </c:pt>
                <c:pt idx="30">
                  <c:v>256.7</c:v>
                </c:pt>
              </c:numCache>
            </c:numRef>
          </c:val>
          <c:smooth val="0"/>
          <c:extLst>
            <c:ext xmlns:c16="http://schemas.microsoft.com/office/drawing/2014/chart" uri="{C3380CC4-5D6E-409C-BE32-E72D297353CC}">
              <c16:uniqueId val="{00000001-0BE4-4195-AC49-DF58E6AFDDFE}"/>
            </c:ext>
          </c:extLst>
        </c:ser>
        <c:ser>
          <c:idx val="2"/>
          <c:order val="2"/>
          <c:tx>
            <c:v>Close</c:v>
          </c:tx>
          <c:spPr>
            <a:ln w="19050" cap="rnd">
              <a:noFill/>
              <a:round/>
            </a:ln>
            <a:effectLst/>
          </c:spPr>
          <c:marker>
            <c:symbol val="none"/>
          </c:marker>
          <c:val>
            <c:numRef>
              <c:f>'Stock Data'!$M$8:$M$38</c:f>
              <c:numCache>
                <c:formatCode>General</c:formatCode>
                <c:ptCount val="31"/>
                <c:pt idx="0">
                  <c:v>268.38</c:v>
                </c:pt>
                <c:pt idx="1">
                  <c:v>259</c:v>
                </c:pt>
                <c:pt idx="2">
                  <c:v>262.55</c:v>
                </c:pt>
                <c:pt idx="3">
                  <c:v>256.24</c:v>
                </c:pt>
                <c:pt idx="4">
                  <c:v>259.60000000000002</c:v>
                </c:pt>
                <c:pt idx="5">
                  <c:v>251.99</c:v>
                </c:pt>
                <c:pt idx="6">
                  <c:v>253.27</c:v>
                </c:pt>
                <c:pt idx="7">
                  <c:v>246.72</c:v>
                </c:pt>
                <c:pt idx="8">
                  <c:v>246.96</c:v>
                </c:pt>
                <c:pt idx="9">
                  <c:v>246.4</c:v>
                </c:pt>
                <c:pt idx="10">
                  <c:v>246.26</c:v>
                </c:pt>
                <c:pt idx="11">
                  <c:v>240.17</c:v>
                </c:pt>
                <c:pt idx="12">
                  <c:v>238.24</c:v>
                </c:pt>
                <c:pt idx="13">
                  <c:v>236.22</c:v>
                </c:pt>
                <c:pt idx="14">
                  <c:v>239.16</c:v>
                </c:pt>
                <c:pt idx="15">
                  <c:v>241.67</c:v>
                </c:pt>
                <c:pt idx="16">
                  <c:v>243.21</c:v>
                </c:pt>
                <c:pt idx="17">
                  <c:v>247.04</c:v>
                </c:pt>
                <c:pt idx="18">
                  <c:v>242.21</c:v>
                </c:pt>
                <c:pt idx="19">
                  <c:v>248.93</c:v>
                </c:pt>
                <c:pt idx="20">
                  <c:v>249</c:v>
                </c:pt>
                <c:pt idx="21">
                  <c:v>248.17</c:v>
                </c:pt>
                <c:pt idx="22">
                  <c:v>248.57</c:v>
                </c:pt>
                <c:pt idx="23">
                  <c:v>246.91</c:v>
                </c:pt>
                <c:pt idx="24">
                  <c:v>248.33</c:v>
                </c:pt>
                <c:pt idx="25">
                  <c:v>256.79000000000002</c:v>
                </c:pt>
                <c:pt idx="26">
                  <c:v>258.67</c:v>
                </c:pt>
                <c:pt idx="27">
                  <c:v>260.48</c:v>
                </c:pt>
                <c:pt idx="28">
                  <c:v>254.38</c:v>
                </c:pt>
                <c:pt idx="29">
                  <c:v>251.89</c:v>
                </c:pt>
                <c:pt idx="30">
                  <c:v>259.58</c:v>
                </c:pt>
              </c:numCache>
            </c:numRef>
          </c:val>
          <c:smooth val="0"/>
          <c:extLst>
            <c:ext xmlns:c16="http://schemas.microsoft.com/office/drawing/2014/chart" uri="{C3380CC4-5D6E-409C-BE32-E72D297353CC}">
              <c16:uniqueId val="{00000002-0BE4-4195-AC49-DF58E6AFDDFE}"/>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val>
            <c:numRef>
              <c:f>'Stock Data'!$O$8:$O$38</c:f>
              <c:numCache>
                <c:formatCode>General</c:formatCode>
                <c:ptCount val="31"/>
                <c:pt idx="0">
                  <c:v>2535500</c:v>
                </c:pt>
                <c:pt idx="1">
                  <c:v>2111200</c:v>
                </c:pt>
                <c:pt idx="2">
                  <c:v>3038600</c:v>
                </c:pt>
                <c:pt idx="3">
                  <c:v>2400200</c:v>
                </c:pt>
                <c:pt idx="4">
                  <c:v>2519800</c:v>
                </c:pt>
                <c:pt idx="5">
                  <c:v>1704700</c:v>
                </c:pt>
                <c:pt idx="6">
                  <c:v>2408400</c:v>
                </c:pt>
                <c:pt idx="7">
                  <c:v>1504300</c:v>
                </c:pt>
                <c:pt idx="8">
                  <c:v>1564200</c:v>
                </c:pt>
                <c:pt idx="9">
                  <c:v>1495300</c:v>
                </c:pt>
                <c:pt idx="10">
                  <c:v>1506100</c:v>
                </c:pt>
                <c:pt idx="11">
                  <c:v>2383100</c:v>
                </c:pt>
                <c:pt idx="12">
                  <c:v>1448300</c:v>
                </c:pt>
                <c:pt idx="13">
                  <c:v>2526800</c:v>
                </c:pt>
                <c:pt idx="14">
                  <c:v>1956200</c:v>
                </c:pt>
                <c:pt idx="15">
                  <c:v>1725300</c:v>
                </c:pt>
                <c:pt idx="16">
                  <c:v>2326500</c:v>
                </c:pt>
                <c:pt idx="17">
                  <c:v>1797700</c:v>
                </c:pt>
                <c:pt idx="18">
                  <c:v>3613200</c:v>
                </c:pt>
                <c:pt idx="19">
                  <c:v>1596700</c:v>
                </c:pt>
                <c:pt idx="20">
                  <c:v>1691900</c:v>
                </c:pt>
                <c:pt idx="21">
                  <c:v>2014200</c:v>
                </c:pt>
                <c:pt idx="22">
                  <c:v>2101100</c:v>
                </c:pt>
                <c:pt idx="23">
                  <c:v>2089200</c:v>
                </c:pt>
                <c:pt idx="24">
                  <c:v>2429600</c:v>
                </c:pt>
                <c:pt idx="25">
                  <c:v>1668600</c:v>
                </c:pt>
                <c:pt idx="26">
                  <c:v>1997600</c:v>
                </c:pt>
                <c:pt idx="27">
                  <c:v>2037300</c:v>
                </c:pt>
                <c:pt idx="28">
                  <c:v>3092700</c:v>
                </c:pt>
                <c:pt idx="29">
                  <c:v>3003100</c:v>
                </c:pt>
                <c:pt idx="30">
                  <c:v>1825800</c:v>
                </c:pt>
              </c:numCache>
            </c:numRef>
          </c:val>
          <c:smooth val="0"/>
          <c:extLst>
            <c:ext xmlns:c16="http://schemas.microsoft.com/office/drawing/2014/chart" uri="{C3380CC4-5D6E-409C-BE32-E72D297353CC}">
              <c16:uniqueId val="{00000003-0BE4-4195-AC49-DF58E6AFDDFE}"/>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1055424072"/>
        <c:axId val="1055428008"/>
      </c:stockChart>
      <c:dateAx>
        <c:axId val="1068413160"/>
        <c:scaling>
          <c:orientation val="minMax"/>
        </c:scaling>
        <c:delete val="0"/>
        <c:axPos val="b"/>
        <c:numFmt formatCode="m/d/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408568"/>
        <c:crosses val="autoZero"/>
        <c:auto val="1"/>
        <c:lblOffset val="100"/>
        <c:baseTimeUnit val="days"/>
      </c:dateAx>
      <c:valAx>
        <c:axId val="1068408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413160"/>
        <c:crosses val="autoZero"/>
        <c:crossBetween val="between"/>
      </c:valAx>
      <c:valAx>
        <c:axId val="105542800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5424072"/>
        <c:crosses val="max"/>
        <c:crossBetween val="between"/>
      </c:valAx>
      <c:catAx>
        <c:axId val="1055424072"/>
        <c:scaling>
          <c:orientation val="minMax"/>
        </c:scaling>
        <c:delete val="1"/>
        <c:axPos val="t"/>
        <c:majorTickMark val="out"/>
        <c:minorTickMark val="none"/>
        <c:tickLblPos val="nextTo"/>
        <c:crossAx val="1055428008"/>
        <c:crosses val="max"/>
        <c:auto val="1"/>
        <c:lblAlgn val="ctr"/>
        <c:lblOffset val="100"/>
        <c:noMultiLvlLbl val="0"/>
      </c:catAx>
      <c:spPr>
        <a:noFill/>
        <a:ln>
          <a:noFill/>
        </a:ln>
        <a:effectLst/>
      </c:spPr>
    </c:plotArea>
    <c:legend>
      <c:legendPos val="t"/>
      <c:layout>
        <c:manualLayout>
          <c:xMode val="edge"/>
          <c:yMode val="edge"/>
          <c:x val="0.4836815901609422"/>
          <c:y val="0.25733778523111389"/>
          <c:w val="0.47475176129299629"/>
          <c:h val="0.116581253675224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Facebook</a:t>
            </a:r>
          </a:p>
        </c:rich>
      </c:tx>
      <c:layout>
        <c:manualLayout>
          <c:xMode val="edge"/>
          <c:yMode val="edge"/>
          <c:x val="8.8694444444444451E-2"/>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Data'!$Q$8:$Q$47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Data'!$S$8:$S$47</c:f>
              <c:numCache>
                <c:formatCode>General</c:formatCode>
                <c:ptCount val="40"/>
                <c:pt idx="0">
                  <c:v>241.76</c:v>
                </c:pt>
                <c:pt idx="1">
                  <c:v>244.82</c:v>
                </c:pt>
                <c:pt idx="2">
                  <c:v>240.33</c:v>
                </c:pt>
                <c:pt idx="3">
                  <c:v>250.15</c:v>
                </c:pt>
                <c:pt idx="4">
                  <c:v>245.49</c:v>
                </c:pt>
                <c:pt idx="5">
                  <c:v>246.53</c:v>
                </c:pt>
                <c:pt idx="6">
                  <c:v>246.99</c:v>
                </c:pt>
                <c:pt idx="7">
                  <c:v>247.65</c:v>
                </c:pt>
                <c:pt idx="8">
                  <c:v>240.4</c:v>
                </c:pt>
                <c:pt idx="9">
                  <c:v>240</c:v>
                </c:pt>
                <c:pt idx="10">
                  <c:v>239</c:v>
                </c:pt>
                <c:pt idx="11">
                  <c:v>227.5</c:v>
                </c:pt>
                <c:pt idx="12">
                  <c:v>220.75</c:v>
                </c:pt>
                <c:pt idx="13">
                  <c:v>233.09</c:v>
                </c:pt>
                <c:pt idx="14">
                  <c:v>237.3</c:v>
                </c:pt>
                <c:pt idx="15">
                  <c:v>243.22</c:v>
                </c:pt>
                <c:pt idx="16">
                  <c:v>245.19</c:v>
                </c:pt>
                <c:pt idx="17">
                  <c:v>240.7</c:v>
                </c:pt>
                <c:pt idx="18">
                  <c:v>240.83</c:v>
                </c:pt>
                <c:pt idx="19">
                  <c:v>236.14</c:v>
                </c:pt>
                <c:pt idx="20">
                  <c:v>237.59</c:v>
                </c:pt>
                <c:pt idx="21">
                  <c:v>238.46</c:v>
                </c:pt>
                <c:pt idx="22">
                  <c:v>233.77</c:v>
                </c:pt>
                <c:pt idx="23">
                  <c:v>231.66</c:v>
                </c:pt>
                <c:pt idx="24">
                  <c:v>232.89</c:v>
                </c:pt>
                <c:pt idx="25">
                  <c:v>241.21</c:v>
                </c:pt>
                <c:pt idx="26">
                  <c:v>239.77</c:v>
                </c:pt>
                <c:pt idx="27">
                  <c:v>231.55</c:v>
                </c:pt>
                <c:pt idx="28">
                  <c:v>231.35</c:v>
                </c:pt>
                <c:pt idx="29">
                  <c:v>231.63</c:v>
                </c:pt>
                <c:pt idx="30">
                  <c:v>232.65</c:v>
                </c:pt>
                <c:pt idx="31">
                  <c:v>233</c:v>
                </c:pt>
                <c:pt idx="32">
                  <c:v>232.44</c:v>
                </c:pt>
                <c:pt idx="33">
                  <c:v>227.49</c:v>
                </c:pt>
                <c:pt idx="34">
                  <c:v>231.63</c:v>
                </c:pt>
                <c:pt idx="35">
                  <c:v>230.56</c:v>
                </c:pt>
                <c:pt idx="36">
                  <c:v>240.9</c:v>
                </c:pt>
                <c:pt idx="37">
                  <c:v>235.99</c:v>
                </c:pt>
                <c:pt idx="38">
                  <c:v>237.2</c:v>
                </c:pt>
                <c:pt idx="39">
                  <c:v>231.34</c:v>
                </c:pt>
              </c:numCache>
            </c:numRef>
          </c:val>
          <c:extLst>
            <c:ext xmlns:c16="http://schemas.microsoft.com/office/drawing/2014/chart" uri="{C3380CC4-5D6E-409C-BE32-E72D297353CC}">
              <c16:uniqueId val="{00000000-F055-4A58-BAC2-6D488A197B25}"/>
            </c:ext>
          </c:extLst>
        </c:ser>
        <c:dLbls>
          <c:showLegendKey val="0"/>
          <c:showVal val="0"/>
          <c:showCatName val="0"/>
          <c:showSerName val="0"/>
          <c:showPercent val="0"/>
          <c:showBubbleSize val="0"/>
        </c:dLbls>
        <c:gapWidth val="150"/>
        <c:axId val="1160695552"/>
        <c:axId val="1160694896"/>
      </c:barChart>
      <c:stockChart>
        <c:ser>
          <c:idx val="1"/>
          <c:order val="1"/>
          <c:tx>
            <c:v>Low</c:v>
          </c:tx>
          <c:spPr>
            <a:ln w="19050" cap="rnd">
              <a:noFill/>
              <a:round/>
            </a:ln>
            <a:effectLst/>
          </c:spPr>
          <c:marker>
            <c:symbol val="none"/>
          </c:marker>
          <c:cat>
            <c:numRef>
              <c:f>'Stock Data'!$Q$8:$Q$47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Data'!$T$8:$T$47</c:f>
              <c:numCache>
                <c:formatCode>General</c:formatCode>
                <c:ptCount val="40"/>
                <c:pt idx="0">
                  <c:v>236.33</c:v>
                </c:pt>
                <c:pt idx="1">
                  <c:v>238.05</c:v>
                </c:pt>
                <c:pt idx="2">
                  <c:v>232.03</c:v>
                </c:pt>
                <c:pt idx="3">
                  <c:v>238.42</c:v>
                </c:pt>
                <c:pt idx="4">
                  <c:v>239.32</c:v>
                </c:pt>
                <c:pt idx="5">
                  <c:v>239.24</c:v>
                </c:pt>
                <c:pt idx="6">
                  <c:v>236.59</c:v>
                </c:pt>
                <c:pt idx="7">
                  <c:v>238.82</c:v>
                </c:pt>
                <c:pt idx="8">
                  <c:v>232.27</c:v>
                </c:pt>
                <c:pt idx="9">
                  <c:v>232.61</c:v>
                </c:pt>
                <c:pt idx="10">
                  <c:v>227.56</c:v>
                </c:pt>
                <c:pt idx="11">
                  <c:v>218.47</c:v>
                </c:pt>
                <c:pt idx="12">
                  <c:v>207.11</c:v>
                </c:pt>
                <c:pt idx="13">
                  <c:v>215.4</c:v>
                </c:pt>
                <c:pt idx="14">
                  <c:v>232.74</c:v>
                </c:pt>
                <c:pt idx="15">
                  <c:v>232.68</c:v>
                </c:pt>
                <c:pt idx="16">
                  <c:v>239.86</c:v>
                </c:pt>
                <c:pt idx="17">
                  <c:v>236.91</c:v>
                </c:pt>
                <c:pt idx="18">
                  <c:v>235.55</c:v>
                </c:pt>
                <c:pt idx="19">
                  <c:v>232.15</c:v>
                </c:pt>
                <c:pt idx="20">
                  <c:v>231.73</c:v>
                </c:pt>
                <c:pt idx="21">
                  <c:v>233</c:v>
                </c:pt>
                <c:pt idx="22">
                  <c:v>224.8</c:v>
                </c:pt>
                <c:pt idx="23">
                  <c:v>224.5</c:v>
                </c:pt>
                <c:pt idx="24">
                  <c:v>223.55</c:v>
                </c:pt>
                <c:pt idx="25">
                  <c:v>235.28</c:v>
                </c:pt>
                <c:pt idx="26">
                  <c:v>230.41</c:v>
                </c:pt>
                <c:pt idx="27">
                  <c:v>227.41</c:v>
                </c:pt>
                <c:pt idx="28">
                  <c:v>225.31</c:v>
                </c:pt>
                <c:pt idx="29">
                  <c:v>224.61</c:v>
                </c:pt>
                <c:pt idx="30">
                  <c:v>228.53</c:v>
                </c:pt>
                <c:pt idx="31">
                  <c:v>226.56</c:v>
                </c:pt>
                <c:pt idx="32">
                  <c:v>223.5</c:v>
                </c:pt>
                <c:pt idx="33">
                  <c:v>222.88</c:v>
                </c:pt>
                <c:pt idx="34">
                  <c:v>224</c:v>
                </c:pt>
                <c:pt idx="35">
                  <c:v>221.13</c:v>
                </c:pt>
                <c:pt idx="36">
                  <c:v>231.67</c:v>
                </c:pt>
                <c:pt idx="37">
                  <c:v>228.74</c:v>
                </c:pt>
                <c:pt idx="38">
                  <c:v>231.2</c:v>
                </c:pt>
                <c:pt idx="39">
                  <c:v>223.19</c:v>
                </c:pt>
              </c:numCache>
            </c:numRef>
          </c:val>
          <c:smooth val="0"/>
          <c:extLst>
            <c:ext xmlns:c16="http://schemas.microsoft.com/office/drawing/2014/chart" uri="{C3380CC4-5D6E-409C-BE32-E72D297353CC}">
              <c16:uniqueId val="{00000001-F055-4A58-BAC2-6D488A197B25}"/>
            </c:ext>
          </c:extLst>
        </c:ser>
        <c:ser>
          <c:idx val="2"/>
          <c:order val="2"/>
          <c:tx>
            <c:v>Close</c:v>
          </c:tx>
          <c:spPr>
            <a:ln w="19050" cap="rnd">
              <a:noFill/>
              <a:round/>
            </a:ln>
            <a:effectLst/>
          </c:spPr>
          <c:marker>
            <c:symbol val="none"/>
          </c:marker>
          <c:cat>
            <c:numRef>
              <c:f>'Stock Data'!$Q$8:$Q$47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Data'!$U$8:$U$47</c:f>
              <c:numCache>
                <c:formatCode>General</c:formatCode>
                <c:ptCount val="40"/>
                <c:pt idx="0">
                  <c:v>240.93</c:v>
                </c:pt>
                <c:pt idx="1">
                  <c:v>240.28</c:v>
                </c:pt>
                <c:pt idx="2">
                  <c:v>239.73</c:v>
                </c:pt>
                <c:pt idx="3">
                  <c:v>239</c:v>
                </c:pt>
                <c:pt idx="4">
                  <c:v>245.07</c:v>
                </c:pt>
                <c:pt idx="5">
                  <c:v>244.5</c:v>
                </c:pt>
                <c:pt idx="6">
                  <c:v>243.58</c:v>
                </c:pt>
                <c:pt idx="7">
                  <c:v>240.86</c:v>
                </c:pt>
                <c:pt idx="8">
                  <c:v>240.28</c:v>
                </c:pt>
                <c:pt idx="9">
                  <c:v>233.42</c:v>
                </c:pt>
                <c:pt idx="10">
                  <c:v>237.55</c:v>
                </c:pt>
                <c:pt idx="11">
                  <c:v>227.07</c:v>
                </c:pt>
                <c:pt idx="12">
                  <c:v>220.64</c:v>
                </c:pt>
                <c:pt idx="13">
                  <c:v>216.08</c:v>
                </c:pt>
                <c:pt idx="14">
                  <c:v>235.68</c:v>
                </c:pt>
                <c:pt idx="15">
                  <c:v>234.02</c:v>
                </c:pt>
                <c:pt idx="16">
                  <c:v>242.24</c:v>
                </c:pt>
                <c:pt idx="17">
                  <c:v>239.22</c:v>
                </c:pt>
                <c:pt idx="18">
                  <c:v>238.79</c:v>
                </c:pt>
                <c:pt idx="19">
                  <c:v>235.94</c:v>
                </c:pt>
                <c:pt idx="20">
                  <c:v>235.53</c:v>
                </c:pt>
                <c:pt idx="21">
                  <c:v>235.65</c:v>
                </c:pt>
                <c:pt idx="22">
                  <c:v>232.5</c:v>
                </c:pt>
                <c:pt idx="23">
                  <c:v>228.58</c:v>
                </c:pt>
                <c:pt idx="24">
                  <c:v>224.43</c:v>
                </c:pt>
                <c:pt idx="25">
                  <c:v>236.73</c:v>
                </c:pt>
                <c:pt idx="26">
                  <c:v>238.67</c:v>
                </c:pt>
                <c:pt idx="27">
                  <c:v>231.4</c:v>
                </c:pt>
                <c:pt idx="28">
                  <c:v>230.77</c:v>
                </c:pt>
                <c:pt idx="29">
                  <c:v>226.29</c:v>
                </c:pt>
                <c:pt idx="30">
                  <c:v>230.16</c:v>
                </c:pt>
                <c:pt idx="31">
                  <c:v>232.72</c:v>
                </c:pt>
                <c:pt idx="32">
                  <c:v>231.91</c:v>
                </c:pt>
                <c:pt idx="33">
                  <c:v>225.09</c:v>
                </c:pt>
                <c:pt idx="34">
                  <c:v>225.46</c:v>
                </c:pt>
                <c:pt idx="35">
                  <c:v>229.14</c:v>
                </c:pt>
                <c:pt idx="36">
                  <c:v>232.2</c:v>
                </c:pt>
                <c:pt idx="37">
                  <c:v>234.91</c:v>
                </c:pt>
                <c:pt idx="38">
                  <c:v>231.39</c:v>
                </c:pt>
                <c:pt idx="39">
                  <c:v>229.97</c:v>
                </c:pt>
              </c:numCache>
            </c:numRef>
          </c:val>
          <c:smooth val="0"/>
          <c:extLst>
            <c:ext xmlns:c16="http://schemas.microsoft.com/office/drawing/2014/chart" uri="{C3380CC4-5D6E-409C-BE32-E72D297353CC}">
              <c16:uniqueId val="{00000002-F055-4A58-BAC2-6D488A197B25}"/>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cat>
            <c:numRef>
              <c:f>'Stock Data'!$Q$8:$Q$47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Data'!$W$8:$W$47</c:f>
              <c:numCache>
                <c:formatCode>General</c:formatCode>
                <c:ptCount val="40"/>
                <c:pt idx="0">
                  <c:v>18880700</c:v>
                </c:pt>
                <c:pt idx="1">
                  <c:v>19133600</c:v>
                </c:pt>
                <c:pt idx="2">
                  <c:v>23378100</c:v>
                </c:pt>
                <c:pt idx="3">
                  <c:v>24674900</c:v>
                </c:pt>
                <c:pt idx="4">
                  <c:v>22982700</c:v>
                </c:pt>
                <c:pt idx="5">
                  <c:v>22174900</c:v>
                </c:pt>
                <c:pt idx="6">
                  <c:v>29791300</c:v>
                </c:pt>
                <c:pt idx="7">
                  <c:v>27887800</c:v>
                </c:pt>
                <c:pt idx="8">
                  <c:v>26206200</c:v>
                </c:pt>
                <c:pt idx="9">
                  <c:v>30633600</c:v>
                </c:pt>
                <c:pt idx="10">
                  <c:v>43399700</c:v>
                </c:pt>
                <c:pt idx="11">
                  <c:v>33927100</c:v>
                </c:pt>
                <c:pt idx="12">
                  <c:v>58514300</c:v>
                </c:pt>
                <c:pt idx="13">
                  <c:v>76343900</c:v>
                </c:pt>
                <c:pt idx="14">
                  <c:v>18704300</c:v>
                </c:pt>
                <c:pt idx="15">
                  <c:v>20834900</c:v>
                </c:pt>
                <c:pt idx="16">
                  <c:v>24017900</c:v>
                </c:pt>
                <c:pt idx="17">
                  <c:v>18917800</c:v>
                </c:pt>
                <c:pt idx="18">
                  <c:v>30081300</c:v>
                </c:pt>
                <c:pt idx="19">
                  <c:v>15782500</c:v>
                </c:pt>
                <c:pt idx="20">
                  <c:v>19552800</c:v>
                </c:pt>
                <c:pt idx="21">
                  <c:v>15236700</c:v>
                </c:pt>
                <c:pt idx="22">
                  <c:v>15340300</c:v>
                </c:pt>
                <c:pt idx="23">
                  <c:v>22071700</c:v>
                </c:pt>
                <c:pt idx="24">
                  <c:v>26708200</c:v>
                </c:pt>
                <c:pt idx="25">
                  <c:v>20720700</c:v>
                </c:pt>
                <c:pt idx="26">
                  <c:v>27462900</c:v>
                </c:pt>
                <c:pt idx="27">
                  <c:v>15466500</c:v>
                </c:pt>
                <c:pt idx="28">
                  <c:v>16750400</c:v>
                </c:pt>
                <c:pt idx="29">
                  <c:v>17041500</c:v>
                </c:pt>
                <c:pt idx="30">
                  <c:v>15380300</c:v>
                </c:pt>
                <c:pt idx="31">
                  <c:v>20919000</c:v>
                </c:pt>
                <c:pt idx="32">
                  <c:v>18223800</c:v>
                </c:pt>
                <c:pt idx="33">
                  <c:v>23322500</c:v>
                </c:pt>
                <c:pt idx="34">
                  <c:v>29377200</c:v>
                </c:pt>
                <c:pt idx="35">
                  <c:v>34697600</c:v>
                </c:pt>
                <c:pt idx="36">
                  <c:v>33178300</c:v>
                </c:pt>
                <c:pt idx="37">
                  <c:v>33925600</c:v>
                </c:pt>
                <c:pt idx="38">
                  <c:v>47782600</c:v>
                </c:pt>
                <c:pt idx="39">
                  <c:v>50162900</c:v>
                </c:pt>
              </c:numCache>
            </c:numRef>
          </c:val>
          <c:smooth val="0"/>
          <c:extLst>
            <c:ext xmlns:c16="http://schemas.microsoft.com/office/drawing/2014/chart" uri="{C3380CC4-5D6E-409C-BE32-E72D297353CC}">
              <c16:uniqueId val="{00000003-F055-4A58-BAC2-6D488A197B25}"/>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2082023400"/>
        <c:axId val="2082023072"/>
      </c:stockChart>
      <c:dateAx>
        <c:axId val="1160695552"/>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694896"/>
        <c:crosses val="autoZero"/>
        <c:auto val="1"/>
        <c:lblOffset val="100"/>
        <c:baseTimeUnit val="days"/>
      </c:dateAx>
      <c:valAx>
        <c:axId val="1160694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695552"/>
        <c:crosses val="autoZero"/>
        <c:crossBetween val="between"/>
      </c:valAx>
      <c:valAx>
        <c:axId val="2082023072"/>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023400"/>
        <c:crosses val="max"/>
        <c:crossBetween val="between"/>
      </c:valAx>
      <c:dateAx>
        <c:axId val="2082023400"/>
        <c:scaling>
          <c:orientation val="minMax"/>
        </c:scaling>
        <c:delete val="1"/>
        <c:axPos val="b"/>
        <c:numFmt formatCode="m/d/yyyy" sourceLinked="1"/>
        <c:majorTickMark val="none"/>
        <c:minorTickMark val="none"/>
        <c:tickLblPos val="nextTo"/>
        <c:crossAx val="2082023072"/>
        <c:crosses val="autoZero"/>
        <c:auto val="1"/>
        <c:lblOffset val="100"/>
        <c:baseTimeUnit val="days"/>
      </c:dateAx>
      <c:spPr>
        <a:noFill/>
        <a:ln>
          <a:noFill/>
        </a:ln>
        <a:effectLst/>
      </c:spPr>
    </c:plotArea>
    <c:legend>
      <c:legendPos val="t"/>
      <c:layout>
        <c:manualLayout>
          <c:xMode val="edge"/>
          <c:yMode val="edge"/>
          <c:x val="0.44237995430427313"/>
          <c:y val="0.28171066159080899"/>
          <c:w val="0.49865948335405441"/>
          <c:h val="7.812558807507551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Chevron</a:t>
            </a:r>
          </a:p>
        </c:rich>
      </c:tx>
      <c:layout>
        <c:manualLayout>
          <c:xMode val="edge"/>
          <c:yMode val="edge"/>
          <c:x val="9.0048556430446222E-2"/>
          <c:y val="6.94444444444444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Data'!$Y$8:$Y$47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Data'!$AA$8:$AA$47</c:f>
              <c:numCache>
                <c:formatCode>General</c:formatCode>
                <c:ptCount val="40"/>
                <c:pt idx="0">
                  <c:v>89.48</c:v>
                </c:pt>
                <c:pt idx="1">
                  <c:v>90.19</c:v>
                </c:pt>
                <c:pt idx="2">
                  <c:v>88.6</c:v>
                </c:pt>
                <c:pt idx="3">
                  <c:v>86.93</c:v>
                </c:pt>
                <c:pt idx="4">
                  <c:v>85.42</c:v>
                </c:pt>
                <c:pt idx="5">
                  <c:v>86.32</c:v>
                </c:pt>
                <c:pt idx="6">
                  <c:v>87.8</c:v>
                </c:pt>
                <c:pt idx="7">
                  <c:v>88.08</c:v>
                </c:pt>
                <c:pt idx="8">
                  <c:v>90.25</c:v>
                </c:pt>
                <c:pt idx="9">
                  <c:v>90.36</c:v>
                </c:pt>
                <c:pt idx="10">
                  <c:v>90.77</c:v>
                </c:pt>
                <c:pt idx="11">
                  <c:v>89.99</c:v>
                </c:pt>
                <c:pt idx="12">
                  <c:v>88.57</c:v>
                </c:pt>
                <c:pt idx="13">
                  <c:v>88.83</c:v>
                </c:pt>
                <c:pt idx="14">
                  <c:v>89.51</c:v>
                </c:pt>
                <c:pt idx="15">
                  <c:v>90.13</c:v>
                </c:pt>
                <c:pt idx="16">
                  <c:v>93.09</c:v>
                </c:pt>
                <c:pt idx="17">
                  <c:v>91.69</c:v>
                </c:pt>
                <c:pt idx="18">
                  <c:v>94.41</c:v>
                </c:pt>
                <c:pt idx="19">
                  <c:v>93.23</c:v>
                </c:pt>
                <c:pt idx="20">
                  <c:v>94</c:v>
                </c:pt>
                <c:pt idx="21">
                  <c:v>95.58</c:v>
                </c:pt>
                <c:pt idx="22">
                  <c:v>92.08</c:v>
                </c:pt>
                <c:pt idx="23">
                  <c:v>93.65</c:v>
                </c:pt>
                <c:pt idx="24">
                  <c:v>94.19</c:v>
                </c:pt>
                <c:pt idx="25">
                  <c:v>101.5</c:v>
                </c:pt>
                <c:pt idx="26">
                  <c:v>102.93</c:v>
                </c:pt>
                <c:pt idx="27">
                  <c:v>103.59</c:v>
                </c:pt>
                <c:pt idx="28">
                  <c:v>102.05</c:v>
                </c:pt>
                <c:pt idx="29">
                  <c:v>96.89</c:v>
                </c:pt>
                <c:pt idx="30">
                  <c:v>97.73</c:v>
                </c:pt>
                <c:pt idx="31">
                  <c:v>95.22</c:v>
                </c:pt>
                <c:pt idx="32">
                  <c:v>93.85</c:v>
                </c:pt>
                <c:pt idx="33">
                  <c:v>91.89</c:v>
                </c:pt>
                <c:pt idx="34">
                  <c:v>93.9</c:v>
                </c:pt>
                <c:pt idx="35">
                  <c:v>94.69</c:v>
                </c:pt>
                <c:pt idx="36">
                  <c:v>94.34</c:v>
                </c:pt>
                <c:pt idx="37">
                  <c:v>91.6</c:v>
                </c:pt>
                <c:pt idx="38">
                  <c:v>93.37</c:v>
                </c:pt>
                <c:pt idx="39">
                  <c:v>93.47</c:v>
                </c:pt>
              </c:numCache>
            </c:numRef>
          </c:val>
          <c:extLst>
            <c:ext xmlns:c16="http://schemas.microsoft.com/office/drawing/2014/chart" uri="{C3380CC4-5D6E-409C-BE32-E72D297353CC}">
              <c16:uniqueId val="{00000000-2DE4-4157-A7BC-C3A75E7D3466}"/>
            </c:ext>
          </c:extLst>
        </c:ser>
        <c:dLbls>
          <c:showLegendKey val="0"/>
          <c:showVal val="0"/>
          <c:showCatName val="0"/>
          <c:showSerName val="0"/>
          <c:showPercent val="0"/>
          <c:showBubbleSize val="0"/>
        </c:dLbls>
        <c:gapWidth val="150"/>
        <c:axId val="1160692600"/>
        <c:axId val="783153208"/>
      </c:barChart>
      <c:stockChart>
        <c:ser>
          <c:idx val="1"/>
          <c:order val="1"/>
          <c:tx>
            <c:v>Low</c:v>
          </c:tx>
          <c:spPr>
            <a:ln w="19050" cap="rnd">
              <a:noFill/>
              <a:round/>
            </a:ln>
            <a:effectLst/>
          </c:spPr>
          <c:marker>
            <c:symbol val="none"/>
          </c:marker>
          <c:cat>
            <c:numRef>
              <c:f>'Stock Data'!$Y$8:$Y$47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Data'!$AB$8:$AB$47</c:f>
              <c:numCache>
                <c:formatCode>General</c:formatCode>
                <c:ptCount val="40"/>
                <c:pt idx="0">
                  <c:v>87.35</c:v>
                </c:pt>
                <c:pt idx="1">
                  <c:v>88.21</c:v>
                </c:pt>
                <c:pt idx="2">
                  <c:v>85.04</c:v>
                </c:pt>
                <c:pt idx="3">
                  <c:v>84.81</c:v>
                </c:pt>
                <c:pt idx="4">
                  <c:v>82.5</c:v>
                </c:pt>
                <c:pt idx="5">
                  <c:v>82.69</c:v>
                </c:pt>
                <c:pt idx="6">
                  <c:v>85.89</c:v>
                </c:pt>
                <c:pt idx="7">
                  <c:v>86.15</c:v>
                </c:pt>
                <c:pt idx="8">
                  <c:v>87.82</c:v>
                </c:pt>
                <c:pt idx="9">
                  <c:v>88.16</c:v>
                </c:pt>
                <c:pt idx="10">
                  <c:v>87.55</c:v>
                </c:pt>
                <c:pt idx="11">
                  <c:v>86.36</c:v>
                </c:pt>
                <c:pt idx="12">
                  <c:v>86.6</c:v>
                </c:pt>
                <c:pt idx="13">
                  <c:v>86.18</c:v>
                </c:pt>
                <c:pt idx="14">
                  <c:v>87.16</c:v>
                </c:pt>
                <c:pt idx="15">
                  <c:v>86.86</c:v>
                </c:pt>
                <c:pt idx="16">
                  <c:v>91.18</c:v>
                </c:pt>
                <c:pt idx="17">
                  <c:v>89.59</c:v>
                </c:pt>
                <c:pt idx="18">
                  <c:v>90.55</c:v>
                </c:pt>
                <c:pt idx="19">
                  <c:v>90.1</c:v>
                </c:pt>
                <c:pt idx="20">
                  <c:v>91.5</c:v>
                </c:pt>
                <c:pt idx="21">
                  <c:v>91.49</c:v>
                </c:pt>
                <c:pt idx="22">
                  <c:v>88.21</c:v>
                </c:pt>
                <c:pt idx="23">
                  <c:v>90.01</c:v>
                </c:pt>
                <c:pt idx="24">
                  <c:v>89.12</c:v>
                </c:pt>
                <c:pt idx="25">
                  <c:v>97.56</c:v>
                </c:pt>
                <c:pt idx="26">
                  <c:v>99.83</c:v>
                </c:pt>
                <c:pt idx="27">
                  <c:v>100.87</c:v>
                </c:pt>
                <c:pt idx="28">
                  <c:v>99.05</c:v>
                </c:pt>
                <c:pt idx="29">
                  <c:v>95.16</c:v>
                </c:pt>
                <c:pt idx="30">
                  <c:v>95.75</c:v>
                </c:pt>
                <c:pt idx="31">
                  <c:v>93.29</c:v>
                </c:pt>
                <c:pt idx="32">
                  <c:v>90.11</c:v>
                </c:pt>
                <c:pt idx="33">
                  <c:v>89.26</c:v>
                </c:pt>
                <c:pt idx="34">
                  <c:v>90.79</c:v>
                </c:pt>
                <c:pt idx="35">
                  <c:v>92.11</c:v>
                </c:pt>
                <c:pt idx="36">
                  <c:v>92.03</c:v>
                </c:pt>
                <c:pt idx="37">
                  <c:v>89.47</c:v>
                </c:pt>
                <c:pt idx="38">
                  <c:v>91.28</c:v>
                </c:pt>
                <c:pt idx="39">
                  <c:v>90.18</c:v>
                </c:pt>
              </c:numCache>
            </c:numRef>
          </c:val>
          <c:smooth val="0"/>
          <c:extLst>
            <c:ext xmlns:c16="http://schemas.microsoft.com/office/drawing/2014/chart" uri="{C3380CC4-5D6E-409C-BE32-E72D297353CC}">
              <c16:uniqueId val="{00000001-2DE4-4157-A7BC-C3A75E7D3466}"/>
            </c:ext>
          </c:extLst>
        </c:ser>
        <c:ser>
          <c:idx val="2"/>
          <c:order val="2"/>
          <c:tx>
            <c:v>Close</c:v>
          </c:tx>
          <c:spPr>
            <a:ln w="19050" cap="rnd">
              <a:noFill/>
              <a:round/>
            </a:ln>
            <a:effectLst/>
          </c:spPr>
          <c:marker>
            <c:symbol val="none"/>
          </c:marker>
          <c:cat>
            <c:numRef>
              <c:f>'Stock Data'!$Y$8:$Y$47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Data'!$AC$8:$AC$47</c:f>
              <c:numCache>
                <c:formatCode>General</c:formatCode>
                <c:ptCount val="40"/>
                <c:pt idx="0">
                  <c:v>88.36</c:v>
                </c:pt>
                <c:pt idx="1">
                  <c:v>88.89</c:v>
                </c:pt>
                <c:pt idx="2">
                  <c:v>88.35</c:v>
                </c:pt>
                <c:pt idx="3">
                  <c:v>85.4</c:v>
                </c:pt>
                <c:pt idx="4">
                  <c:v>85.23</c:v>
                </c:pt>
                <c:pt idx="5">
                  <c:v>82.74</c:v>
                </c:pt>
                <c:pt idx="6">
                  <c:v>86.35</c:v>
                </c:pt>
                <c:pt idx="7">
                  <c:v>86.31</c:v>
                </c:pt>
                <c:pt idx="8">
                  <c:v>88.57</c:v>
                </c:pt>
                <c:pt idx="9">
                  <c:v>88.31</c:v>
                </c:pt>
                <c:pt idx="10">
                  <c:v>87.62</c:v>
                </c:pt>
                <c:pt idx="11">
                  <c:v>89.23</c:v>
                </c:pt>
                <c:pt idx="12">
                  <c:v>87.67</c:v>
                </c:pt>
                <c:pt idx="13">
                  <c:v>86.46</c:v>
                </c:pt>
                <c:pt idx="14">
                  <c:v>89.21</c:v>
                </c:pt>
                <c:pt idx="15">
                  <c:v>87.64</c:v>
                </c:pt>
                <c:pt idx="16">
                  <c:v>91.44</c:v>
                </c:pt>
                <c:pt idx="17">
                  <c:v>91.59</c:v>
                </c:pt>
                <c:pt idx="18">
                  <c:v>90.63</c:v>
                </c:pt>
                <c:pt idx="19">
                  <c:v>91.94</c:v>
                </c:pt>
                <c:pt idx="20">
                  <c:v>91.54</c:v>
                </c:pt>
                <c:pt idx="21">
                  <c:v>94.03</c:v>
                </c:pt>
                <c:pt idx="22">
                  <c:v>91.23</c:v>
                </c:pt>
                <c:pt idx="23">
                  <c:v>92.39</c:v>
                </c:pt>
                <c:pt idx="24">
                  <c:v>89.37</c:v>
                </c:pt>
                <c:pt idx="25">
                  <c:v>97.58</c:v>
                </c:pt>
                <c:pt idx="26">
                  <c:v>101.53</c:v>
                </c:pt>
                <c:pt idx="27">
                  <c:v>103.24</c:v>
                </c:pt>
                <c:pt idx="28">
                  <c:v>100.81</c:v>
                </c:pt>
                <c:pt idx="29">
                  <c:v>96.28</c:v>
                </c:pt>
                <c:pt idx="30">
                  <c:v>97.18</c:v>
                </c:pt>
                <c:pt idx="31">
                  <c:v>94.69</c:v>
                </c:pt>
                <c:pt idx="32">
                  <c:v>92.79</c:v>
                </c:pt>
                <c:pt idx="33">
                  <c:v>91.7</c:v>
                </c:pt>
                <c:pt idx="34">
                  <c:v>90.87</c:v>
                </c:pt>
                <c:pt idx="35">
                  <c:v>93.9</c:v>
                </c:pt>
                <c:pt idx="36">
                  <c:v>93.3</c:v>
                </c:pt>
                <c:pt idx="37">
                  <c:v>90.28</c:v>
                </c:pt>
                <c:pt idx="38">
                  <c:v>92.04</c:v>
                </c:pt>
                <c:pt idx="39">
                  <c:v>93</c:v>
                </c:pt>
              </c:numCache>
            </c:numRef>
          </c:val>
          <c:smooth val="0"/>
          <c:extLst>
            <c:ext xmlns:c16="http://schemas.microsoft.com/office/drawing/2014/chart" uri="{C3380CC4-5D6E-409C-BE32-E72D297353CC}">
              <c16:uniqueId val="{00000002-2DE4-4157-A7BC-C3A75E7D3466}"/>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cat>
            <c:numRef>
              <c:f>'Stock Data'!$Y$8:$Y$47</c:f>
              <c:numCache>
                <c:formatCode>m/d/yyyy</c:formatCode>
                <c:ptCount val="40"/>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numCache>
            </c:numRef>
          </c:cat>
          <c:val>
            <c:numRef>
              <c:f>'Stock Data'!$AE$8:$AE$47</c:f>
              <c:numCache>
                <c:formatCode>General</c:formatCode>
                <c:ptCount val="40"/>
                <c:pt idx="0">
                  <c:v>4795700</c:v>
                </c:pt>
                <c:pt idx="1">
                  <c:v>5935200</c:v>
                </c:pt>
                <c:pt idx="2">
                  <c:v>7440500</c:v>
                </c:pt>
                <c:pt idx="3">
                  <c:v>7074000</c:v>
                </c:pt>
                <c:pt idx="4">
                  <c:v>6218100</c:v>
                </c:pt>
                <c:pt idx="5">
                  <c:v>8833600</c:v>
                </c:pt>
                <c:pt idx="6">
                  <c:v>6736400</c:v>
                </c:pt>
                <c:pt idx="7">
                  <c:v>5898000</c:v>
                </c:pt>
                <c:pt idx="8">
                  <c:v>6747500</c:v>
                </c:pt>
                <c:pt idx="9">
                  <c:v>5832800</c:v>
                </c:pt>
                <c:pt idx="10">
                  <c:v>6379400</c:v>
                </c:pt>
                <c:pt idx="11">
                  <c:v>8263600</c:v>
                </c:pt>
                <c:pt idx="12">
                  <c:v>7022200</c:v>
                </c:pt>
                <c:pt idx="13">
                  <c:v>13766000</c:v>
                </c:pt>
                <c:pt idx="14">
                  <c:v>7398000</c:v>
                </c:pt>
                <c:pt idx="15">
                  <c:v>8974500</c:v>
                </c:pt>
                <c:pt idx="16">
                  <c:v>6317700</c:v>
                </c:pt>
                <c:pt idx="17">
                  <c:v>5939200</c:v>
                </c:pt>
                <c:pt idx="18">
                  <c:v>14838800</c:v>
                </c:pt>
                <c:pt idx="19">
                  <c:v>7064100</c:v>
                </c:pt>
                <c:pt idx="20">
                  <c:v>6015100</c:v>
                </c:pt>
                <c:pt idx="21">
                  <c:v>8726700</c:v>
                </c:pt>
                <c:pt idx="22">
                  <c:v>12289500</c:v>
                </c:pt>
                <c:pt idx="23">
                  <c:v>9531200</c:v>
                </c:pt>
                <c:pt idx="24">
                  <c:v>14944800</c:v>
                </c:pt>
                <c:pt idx="25">
                  <c:v>10486300</c:v>
                </c:pt>
                <c:pt idx="26">
                  <c:v>10745400</c:v>
                </c:pt>
                <c:pt idx="27">
                  <c:v>11090700</c:v>
                </c:pt>
                <c:pt idx="28">
                  <c:v>12760100</c:v>
                </c:pt>
                <c:pt idx="29">
                  <c:v>6371700</c:v>
                </c:pt>
                <c:pt idx="30">
                  <c:v>8440200</c:v>
                </c:pt>
                <c:pt idx="31">
                  <c:v>7880300</c:v>
                </c:pt>
                <c:pt idx="32">
                  <c:v>7344000</c:v>
                </c:pt>
                <c:pt idx="33">
                  <c:v>17016900</c:v>
                </c:pt>
                <c:pt idx="34">
                  <c:v>9633300</c:v>
                </c:pt>
                <c:pt idx="35">
                  <c:v>7822600</c:v>
                </c:pt>
                <c:pt idx="36">
                  <c:v>9430000</c:v>
                </c:pt>
                <c:pt idx="37">
                  <c:v>8563100</c:v>
                </c:pt>
                <c:pt idx="38">
                  <c:v>8830900</c:v>
                </c:pt>
                <c:pt idx="39">
                  <c:v>9160000</c:v>
                </c:pt>
              </c:numCache>
            </c:numRef>
          </c:val>
          <c:smooth val="0"/>
          <c:extLst>
            <c:ext xmlns:c16="http://schemas.microsoft.com/office/drawing/2014/chart" uri="{C3380CC4-5D6E-409C-BE32-E72D297353CC}">
              <c16:uniqueId val="{00000003-2DE4-4157-A7BC-C3A75E7D346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794969624"/>
        <c:axId val="794968968"/>
      </c:stockChart>
      <c:dateAx>
        <c:axId val="1160692600"/>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153208"/>
        <c:crosses val="autoZero"/>
        <c:auto val="1"/>
        <c:lblOffset val="100"/>
        <c:baseTimeUnit val="days"/>
      </c:dateAx>
      <c:valAx>
        <c:axId val="783153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692600"/>
        <c:crosses val="autoZero"/>
        <c:crossBetween val="between"/>
      </c:valAx>
      <c:valAx>
        <c:axId val="79496896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969624"/>
        <c:crosses val="max"/>
        <c:crossBetween val="between"/>
      </c:valAx>
      <c:dateAx>
        <c:axId val="794969624"/>
        <c:scaling>
          <c:orientation val="minMax"/>
        </c:scaling>
        <c:delete val="1"/>
        <c:axPos val="b"/>
        <c:numFmt formatCode="m/d/yyyy" sourceLinked="1"/>
        <c:majorTickMark val="none"/>
        <c:minorTickMark val="none"/>
        <c:tickLblPos val="nextTo"/>
        <c:crossAx val="794968968"/>
        <c:crosses val="autoZero"/>
        <c:auto val="1"/>
        <c:lblOffset val="100"/>
        <c:baseTimeUnit val="days"/>
      </c:dateAx>
      <c:spPr>
        <a:noFill/>
        <a:ln>
          <a:noFill/>
        </a:ln>
        <a:effectLst/>
      </c:spPr>
    </c:plotArea>
    <c:legend>
      <c:legendPos val="t"/>
      <c:layout>
        <c:manualLayout>
          <c:xMode val="edge"/>
          <c:yMode val="edge"/>
          <c:x val="0.47419753686308935"/>
          <c:y val="0.27690678691674103"/>
          <c:w val="0.45632940729205507"/>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Shell</a:t>
            </a:r>
          </a:p>
        </c:rich>
      </c:tx>
      <c:layout>
        <c:manualLayout>
          <c:xMode val="edge"/>
          <c:yMode val="edge"/>
          <c:x val="9.2798556430446183E-2"/>
          <c:y val="7.4074074074074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Data'!$AG$8:$AG$49</c:f>
              <c:numCache>
                <c:formatCode>m/d/yyyy</c:formatCode>
                <c:ptCount val="42"/>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pt idx="41">
                  <c:v>43969</c:v>
                </c:pt>
              </c:numCache>
            </c:numRef>
          </c:cat>
          <c:val>
            <c:numRef>
              <c:f>'Stock Data'!$AI$8:$AI$49</c:f>
              <c:numCache>
                <c:formatCode>General</c:formatCode>
                <c:ptCount val="42"/>
                <c:pt idx="0">
                  <c:v>31.61</c:v>
                </c:pt>
                <c:pt idx="1">
                  <c:v>32.020000000000003</c:v>
                </c:pt>
                <c:pt idx="2">
                  <c:v>31.43</c:v>
                </c:pt>
                <c:pt idx="3">
                  <c:v>30.95</c:v>
                </c:pt>
                <c:pt idx="4">
                  <c:v>30.32</c:v>
                </c:pt>
                <c:pt idx="5">
                  <c:v>30.67</c:v>
                </c:pt>
                <c:pt idx="6">
                  <c:v>31.11</c:v>
                </c:pt>
                <c:pt idx="7">
                  <c:v>31.3</c:v>
                </c:pt>
                <c:pt idx="8">
                  <c:v>31.89</c:v>
                </c:pt>
                <c:pt idx="9">
                  <c:v>31.4</c:v>
                </c:pt>
                <c:pt idx="10">
                  <c:v>31.26</c:v>
                </c:pt>
                <c:pt idx="11">
                  <c:v>30.68</c:v>
                </c:pt>
                <c:pt idx="12">
                  <c:v>31.47</c:v>
                </c:pt>
                <c:pt idx="13">
                  <c:v>31.73</c:v>
                </c:pt>
                <c:pt idx="14">
                  <c:v>31.9</c:v>
                </c:pt>
                <c:pt idx="15">
                  <c:v>32.26</c:v>
                </c:pt>
                <c:pt idx="16">
                  <c:v>33.450000000000003</c:v>
                </c:pt>
                <c:pt idx="17">
                  <c:v>32.619999999999997</c:v>
                </c:pt>
                <c:pt idx="18">
                  <c:v>32.950000000000003</c:v>
                </c:pt>
                <c:pt idx="19">
                  <c:v>32.5</c:v>
                </c:pt>
                <c:pt idx="20">
                  <c:v>33.1</c:v>
                </c:pt>
                <c:pt idx="21">
                  <c:v>33.979999999999997</c:v>
                </c:pt>
                <c:pt idx="22">
                  <c:v>33.21</c:v>
                </c:pt>
                <c:pt idx="23">
                  <c:v>33.450000000000003</c:v>
                </c:pt>
                <c:pt idx="24">
                  <c:v>33.340000000000003</c:v>
                </c:pt>
                <c:pt idx="25">
                  <c:v>35.17</c:v>
                </c:pt>
                <c:pt idx="26">
                  <c:v>35.909999999999997</c:v>
                </c:pt>
                <c:pt idx="27">
                  <c:v>37.659999999999997</c:v>
                </c:pt>
                <c:pt idx="28">
                  <c:v>36.340000000000003</c:v>
                </c:pt>
                <c:pt idx="29">
                  <c:v>34.07</c:v>
                </c:pt>
                <c:pt idx="30">
                  <c:v>34.020000000000003</c:v>
                </c:pt>
                <c:pt idx="31">
                  <c:v>32.43</c:v>
                </c:pt>
                <c:pt idx="32">
                  <c:v>31.63</c:v>
                </c:pt>
                <c:pt idx="33">
                  <c:v>30.52</c:v>
                </c:pt>
                <c:pt idx="34">
                  <c:v>31.5</c:v>
                </c:pt>
                <c:pt idx="35">
                  <c:v>31.68</c:v>
                </c:pt>
                <c:pt idx="36">
                  <c:v>31.31</c:v>
                </c:pt>
                <c:pt idx="37">
                  <c:v>30.64</c:v>
                </c:pt>
                <c:pt idx="38">
                  <c:v>31.37</c:v>
                </c:pt>
                <c:pt idx="39">
                  <c:v>31.52</c:v>
                </c:pt>
                <c:pt idx="40">
                  <c:v>31.13</c:v>
                </c:pt>
                <c:pt idx="41">
                  <c:v>31.14</c:v>
                </c:pt>
              </c:numCache>
            </c:numRef>
          </c:val>
          <c:extLst>
            <c:ext xmlns:c16="http://schemas.microsoft.com/office/drawing/2014/chart" uri="{C3380CC4-5D6E-409C-BE32-E72D297353CC}">
              <c16:uniqueId val="{00000000-B4F9-4F1E-87C3-248AC388E3BB}"/>
            </c:ext>
          </c:extLst>
        </c:ser>
        <c:dLbls>
          <c:showLegendKey val="0"/>
          <c:showVal val="0"/>
          <c:showCatName val="0"/>
          <c:showSerName val="0"/>
          <c:showPercent val="0"/>
          <c:showBubbleSize val="0"/>
        </c:dLbls>
        <c:gapWidth val="150"/>
        <c:axId val="564203816"/>
        <c:axId val="564201848"/>
      </c:barChart>
      <c:stockChart>
        <c:ser>
          <c:idx val="1"/>
          <c:order val="1"/>
          <c:tx>
            <c:v>Low</c:v>
          </c:tx>
          <c:spPr>
            <a:ln w="19050" cap="rnd">
              <a:noFill/>
              <a:round/>
            </a:ln>
            <a:effectLst/>
          </c:spPr>
          <c:marker>
            <c:symbol val="none"/>
          </c:marker>
          <c:cat>
            <c:numRef>
              <c:f>'Stock Data'!$AG$8:$AG$49</c:f>
              <c:numCache>
                <c:formatCode>m/d/yyyy</c:formatCode>
                <c:ptCount val="42"/>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pt idx="41">
                  <c:v>43969</c:v>
                </c:pt>
              </c:numCache>
            </c:numRef>
          </c:cat>
          <c:val>
            <c:numRef>
              <c:f>'Stock Data'!$AJ$8:$AJ$49</c:f>
              <c:numCache>
                <c:formatCode>General</c:formatCode>
                <c:ptCount val="42"/>
                <c:pt idx="0">
                  <c:v>31.15</c:v>
                </c:pt>
                <c:pt idx="1">
                  <c:v>31.51</c:v>
                </c:pt>
                <c:pt idx="2">
                  <c:v>30.42</c:v>
                </c:pt>
                <c:pt idx="3">
                  <c:v>30.3</c:v>
                </c:pt>
                <c:pt idx="4">
                  <c:v>29.8</c:v>
                </c:pt>
                <c:pt idx="5">
                  <c:v>29.45</c:v>
                </c:pt>
                <c:pt idx="6">
                  <c:v>30.6</c:v>
                </c:pt>
                <c:pt idx="7">
                  <c:v>30.6</c:v>
                </c:pt>
                <c:pt idx="8">
                  <c:v>31.22</c:v>
                </c:pt>
                <c:pt idx="9">
                  <c:v>30.71</c:v>
                </c:pt>
                <c:pt idx="10">
                  <c:v>30.47</c:v>
                </c:pt>
                <c:pt idx="11">
                  <c:v>29.96</c:v>
                </c:pt>
                <c:pt idx="12">
                  <c:v>30.97</c:v>
                </c:pt>
                <c:pt idx="13">
                  <c:v>30.71</c:v>
                </c:pt>
                <c:pt idx="14">
                  <c:v>31.17</c:v>
                </c:pt>
                <c:pt idx="15">
                  <c:v>31.21</c:v>
                </c:pt>
                <c:pt idx="16">
                  <c:v>32.94</c:v>
                </c:pt>
                <c:pt idx="17">
                  <c:v>32.229999999999997</c:v>
                </c:pt>
                <c:pt idx="18">
                  <c:v>31.95</c:v>
                </c:pt>
                <c:pt idx="19">
                  <c:v>31.9</c:v>
                </c:pt>
                <c:pt idx="20">
                  <c:v>32.229999999999997</c:v>
                </c:pt>
                <c:pt idx="21">
                  <c:v>32.75</c:v>
                </c:pt>
                <c:pt idx="22">
                  <c:v>31.42</c:v>
                </c:pt>
                <c:pt idx="23">
                  <c:v>32.08</c:v>
                </c:pt>
                <c:pt idx="24">
                  <c:v>31.38</c:v>
                </c:pt>
                <c:pt idx="25">
                  <c:v>34.36</c:v>
                </c:pt>
                <c:pt idx="26">
                  <c:v>35.159999999999997</c:v>
                </c:pt>
                <c:pt idx="27">
                  <c:v>36.47</c:v>
                </c:pt>
                <c:pt idx="28">
                  <c:v>35.61</c:v>
                </c:pt>
                <c:pt idx="29">
                  <c:v>33.020000000000003</c:v>
                </c:pt>
                <c:pt idx="30">
                  <c:v>33.36</c:v>
                </c:pt>
                <c:pt idx="31">
                  <c:v>32</c:v>
                </c:pt>
                <c:pt idx="32">
                  <c:v>30.54</c:v>
                </c:pt>
                <c:pt idx="33">
                  <c:v>29.94</c:v>
                </c:pt>
                <c:pt idx="34">
                  <c:v>30.81</c:v>
                </c:pt>
                <c:pt idx="35">
                  <c:v>30.42</c:v>
                </c:pt>
                <c:pt idx="36">
                  <c:v>30.75</c:v>
                </c:pt>
                <c:pt idx="37">
                  <c:v>29.74</c:v>
                </c:pt>
                <c:pt idx="38">
                  <c:v>30.26</c:v>
                </c:pt>
                <c:pt idx="39">
                  <c:v>31.01</c:v>
                </c:pt>
                <c:pt idx="40">
                  <c:v>30.2</c:v>
                </c:pt>
                <c:pt idx="41">
                  <c:v>30.33</c:v>
                </c:pt>
              </c:numCache>
            </c:numRef>
          </c:val>
          <c:smooth val="0"/>
          <c:extLst>
            <c:ext xmlns:c16="http://schemas.microsoft.com/office/drawing/2014/chart" uri="{C3380CC4-5D6E-409C-BE32-E72D297353CC}">
              <c16:uniqueId val="{00000001-B4F9-4F1E-87C3-248AC388E3BB}"/>
            </c:ext>
          </c:extLst>
        </c:ser>
        <c:ser>
          <c:idx val="2"/>
          <c:order val="2"/>
          <c:tx>
            <c:v>Close</c:v>
          </c:tx>
          <c:spPr>
            <a:ln w="19050" cap="rnd">
              <a:noFill/>
              <a:round/>
            </a:ln>
            <a:effectLst/>
          </c:spPr>
          <c:marker>
            <c:symbol val="none"/>
          </c:marker>
          <c:cat>
            <c:numRef>
              <c:f>'Stock Data'!$AG$8:$AG$49</c:f>
              <c:numCache>
                <c:formatCode>m/d/yyyy</c:formatCode>
                <c:ptCount val="42"/>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pt idx="41">
                  <c:v>43969</c:v>
                </c:pt>
              </c:numCache>
            </c:numRef>
          </c:cat>
          <c:val>
            <c:numRef>
              <c:f>'Stock Data'!$AK$8:$AK$49</c:f>
              <c:numCache>
                <c:formatCode>General</c:formatCode>
                <c:ptCount val="42"/>
                <c:pt idx="0">
                  <c:v>31.28</c:v>
                </c:pt>
                <c:pt idx="1">
                  <c:v>31.81</c:v>
                </c:pt>
                <c:pt idx="2">
                  <c:v>31.41</c:v>
                </c:pt>
                <c:pt idx="3">
                  <c:v>30.43</c:v>
                </c:pt>
                <c:pt idx="4">
                  <c:v>30.31</c:v>
                </c:pt>
                <c:pt idx="5">
                  <c:v>29.51</c:v>
                </c:pt>
                <c:pt idx="6">
                  <c:v>30.9</c:v>
                </c:pt>
                <c:pt idx="7">
                  <c:v>30.66</c:v>
                </c:pt>
                <c:pt idx="8">
                  <c:v>31.5</c:v>
                </c:pt>
                <c:pt idx="9">
                  <c:v>30.76</c:v>
                </c:pt>
                <c:pt idx="10">
                  <c:v>30.54</c:v>
                </c:pt>
                <c:pt idx="11">
                  <c:v>30.45</c:v>
                </c:pt>
                <c:pt idx="12">
                  <c:v>31.34</c:v>
                </c:pt>
                <c:pt idx="13">
                  <c:v>30.88</c:v>
                </c:pt>
                <c:pt idx="14">
                  <c:v>31.9</c:v>
                </c:pt>
                <c:pt idx="15">
                  <c:v>31.22</c:v>
                </c:pt>
                <c:pt idx="16">
                  <c:v>33.04</c:v>
                </c:pt>
                <c:pt idx="17">
                  <c:v>32.58</c:v>
                </c:pt>
                <c:pt idx="18">
                  <c:v>32.04</c:v>
                </c:pt>
                <c:pt idx="19">
                  <c:v>32.409999999999997</c:v>
                </c:pt>
                <c:pt idx="20">
                  <c:v>32.25</c:v>
                </c:pt>
                <c:pt idx="21">
                  <c:v>33.06</c:v>
                </c:pt>
                <c:pt idx="22">
                  <c:v>32.99</c:v>
                </c:pt>
                <c:pt idx="23">
                  <c:v>32.96</c:v>
                </c:pt>
                <c:pt idx="24">
                  <c:v>31.4</c:v>
                </c:pt>
                <c:pt idx="25">
                  <c:v>34.380000000000003</c:v>
                </c:pt>
                <c:pt idx="26">
                  <c:v>35.33</c:v>
                </c:pt>
                <c:pt idx="27">
                  <c:v>37.65</c:v>
                </c:pt>
                <c:pt idx="28">
                  <c:v>35.99</c:v>
                </c:pt>
                <c:pt idx="29">
                  <c:v>33.869999999999997</c:v>
                </c:pt>
                <c:pt idx="30">
                  <c:v>33.75</c:v>
                </c:pt>
                <c:pt idx="31">
                  <c:v>32.25</c:v>
                </c:pt>
                <c:pt idx="32">
                  <c:v>31.58</c:v>
                </c:pt>
                <c:pt idx="33">
                  <c:v>30.44</c:v>
                </c:pt>
                <c:pt idx="34">
                  <c:v>30.91</c:v>
                </c:pt>
                <c:pt idx="35">
                  <c:v>31.07</c:v>
                </c:pt>
                <c:pt idx="36">
                  <c:v>30.94</c:v>
                </c:pt>
                <c:pt idx="37">
                  <c:v>30.34</c:v>
                </c:pt>
                <c:pt idx="38">
                  <c:v>30.48</c:v>
                </c:pt>
                <c:pt idx="39">
                  <c:v>31.2</c:v>
                </c:pt>
                <c:pt idx="40">
                  <c:v>30.22</c:v>
                </c:pt>
                <c:pt idx="41">
                  <c:v>30.99</c:v>
                </c:pt>
              </c:numCache>
            </c:numRef>
          </c:val>
          <c:smooth val="0"/>
          <c:extLst>
            <c:ext xmlns:c16="http://schemas.microsoft.com/office/drawing/2014/chart" uri="{C3380CC4-5D6E-409C-BE32-E72D297353CC}">
              <c16:uniqueId val="{00000002-B4F9-4F1E-87C3-248AC388E3BB}"/>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cat>
            <c:numRef>
              <c:f>'Stock Data'!$AG$8:$AG$49</c:f>
              <c:numCache>
                <c:formatCode>m/d/yyyy</c:formatCode>
                <c:ptCount val="42"/>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pt idx="41">
                  <c:v>43969</c:v>
                </c:pt>
              </c:numCache>
            </c:numRef>
          </c:cat>
          <c:val>
            <c:numRef>
              <c:f>'Stock Data'!$AM$8:$AM$49</c:f>
              <c:numCache>
                <c:formatCode>General</c:formatCode>
                <c:ptCount val="42"/>
                <c:pt idx="0">
                  <c:v>1879000</c:v>
                </c:pt>
                <c:pt idx="1">
                  <c:v>2394400</c:v>
                </c:pt>
                <c:pt idx="2">
                  <c:v>2814900</c:v>
                </c:pt>
                <c:pt idx="3">
                  <c:v>3478500</c:v>
                </c:pt>
                <c:pt idx="4">
                  <c:v>3424400</c:v>
                </c:pt>
                <c:pt idx="5">
                  <c:v>4550400</c:v>
                </c:pt>
                <c:pt idx="6">
                  <c:v>3015000</c:v>
                </c:pt>
                <c:pt idx="7">
                  <c:v>2792200</c:v>
                </c:pt>
                <c:pt idx="8">
                  <c:v>5203900</c:v>
                </c:pt>
                <c:pt idx="9">
                  <c:v>5245800</c:v>
                </c:pt>
                <c:pt idx="10">
                  <c:v>4825100</c:v>
                </c:pt>
                <c:pt idx="11">
                  <c:v>6114000</c:v>
                </c:pt>
                <c:pt idx="12">
                  <c:v>4271400</c:v>
                </c:pt>
                <c:pt idx="13">
                  <c:v>4990000</c:v>
                </c:pt>
                <c:pt idx="14">
                  <c:v>3138300</c:v>
                </c:pt>
                <c:pt idx="15">
                  <c:v>4014000</c:v>
                </c:pt>
                <c:pt idx="16">
                  <c:v>2770000</c:v>
                </c:pt>
                <c:pt idx="17">
                  <c:v>2127300</c:v>
                </c:pt>
                <c:pt idx="18">
                  <c:v>2780400</c:v>
                </c:pt>
                <c:pt idx="19">
                  <c:v>2057200</c:v>
                </c:pt>
                <c:pt idx="20">
                  <c:v>2318500</c:v>
                </c:pt>
                <c:pt idx="21">
                  <c:v>6094300</c:v>
                </c:pt>
                <c:pt idx="22">
                  <c:v>3271900</c:v>
                </c:pt>
                <c:pt idx="23">
                  <c:v>4927200</c:v>
                </c:pt>
                <c:pt idx="24">
                  <c:v>6454700</c:v>
                </c:pt>
                <c:pt idx="25">
                  <c:v>3583400</c:v>
                </c:pt>
                <c:pt idx="26">
                  <c:v>5614800</c:v>
                </c:pt>
                <c:pt idx="27">
                  <c:v>6611200</c:v>
                </c:pt>
                <c:pt idx="28">
                  <c:v>7336300</c:v>
                </c:pt>
                <c:pt idx="29">
                  <c:v>4748700</c:v>
                </c:pt>
                <c:pt idx="30">
                  <c:v>4547800</c:v>
                </c:pt>
                <c:pt idx="31">
                  <c:v>3336900</c:v>
                </c:pt>
                <c:pt idx="32">
                  <c:v>4063000</c:v>
                </c:pt>
                <c:pt idx="33">
                  <c:v>5037600</c:v>
                </c:pt>
                <c:pt idx="34">
                  <c:v>6239000</c:v>
                </c:pt>
                <c:pt idx="35">
                  <c:v>6094200</c:v>
                </c:pt>
                <c:pt idx="36">
                  <c:v>5107500</c:v>
                </c:pt>
                <c:pt idx="37">
                  <c:v>4408400</c:v>
                </c:pt>
                <c:pt idx="38">
                  <c:v>4181700</c:v>
                </c:pt>
                <c:pt idx="39">
                  <c:v>5157200</c:v>
                </c:pt>
                <c:pt idx="40">
                  <c:v>5730000</c:v>
                </c:pt>
                <c:pt idx="41">
                  <c:v>6550800</c:v>
                </c:pt>
              </c:numCache>
            </c:numRef>
          </c:val>
          <c:smooth val="0"/>
          <c:extLst>
            <c:ext xmlns:c16="http://schemas.microsoft.com/office/drawing/2014/chart" uri="{C3380CC4-5D6E-409C-BE32-E72D297353CC}">
              <c16:uniqueId val="{00000003-B4F9-4F1E-87C3-248AC388E3BB}"/>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564202832"/>
        <c:axId val="564202504"/>
      </c:stockChart>
      <c:dateAx>
        <c:axId val="564203816"/>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01848"/>
        <c:crosses val="autoZero"/>
        <c:auto val="1"/>
        <c:lblOffset val="100"/>
        <c:baseTimeUnit val="days"/>
      </c:dateAx>
      <c:valAx>
        <c:axId val="564201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03816"/>
        <c:crosses val="autoZero"/>
        <c:crossBetween val="between"/>
      </c:valAx>
      <c:valAx>
        <c:axId val="564202504"/>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02832"/>
        <c:crosses val="max"/>
        <c:crossBetween val="between"/>
      </c:valAx>
      <c:dateAx>
        <c:axId val="564202832"/>
        <c:scaling>
          <c:orientation val="minMax"/>
        </c:scaling>
        <c:delete val="1"/>
        <c:axPos val="b"/>
        <c:numFmt formatCode="m/d/yyyy" sourceLinked="1"/>
        <c:majorTickMark val="none"/>
        <c:minorTickMark val="none"/>
        <c:tickLblPos val="nextTo"/>
        <c:crossAx val="564202504"/>
        <c:crosses val="autoZero"/>
        <c:auto val="1"/>
        <c:lblOffset val="100"/>
        <c:baseTimeUnit val="days"/>
      </c:dateAx>
      <c:spPr>
        <a:noFill/>
        <a:ln>
          <a:noFill/>
        </a:ln>
        <a:effectLst/>
      </c:spPr>
    </c:plotArea>
    <c:legend>
      <c:legendPos val="t"/>
      <c:layout>
        <c:manualLayout>
          <c:xMode val="edge"/>
          <c:yMode val="edge"/>
          <c:x val="0.41183664242926576"/>
          <c:y val="0.2571536270732116"/>
          <c:w val="0.52774081910121351"/>
          <c:h val="0.116581126841010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Raytheon</a:t>
            </a:r>
          </a:p>
        </c:rich>
      </c:tx>
      <c:layout>
        <c:manualLayout>
          <c:xMode val="edge"/>
          <c:yMode val="edge"/>
          <c:x val="5.637629069453387E-2"/>
          <c:y val="6.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High</c:v>
          </c:tx>
          <c:spPr>
            <a:solidFill>
              <a:schemeClr val="accent1"/>
            </a:solidFill>
            <a:ln w="19050">
              <a:noFill/>
            </a:ln>
            <a:effectLst/>
          </c:spPr>
          <c:invertIfNegative val="0"/>
          <c:cat>
            <c:numRef>
              <c:f>'Stock Data'!$AO$8:$AO$48</c:f>
              <c:numCache>
                <c:formatCode>m/d/yyyy</c:formatCode>
                <c:ptCount val="41"/>
                <c:pt idx="0">
                  <c:v>44028</c:v>
                </c:pt>
                <c:pt idx="1">
                  <c:v>44027</c:v>
                </c:pt>
                <c:pt idx="2">
                  <c:v>44026</c:v>
                </c:pt>
                <c:pt idx="3">
                  <c:v>44025</c:v>
                </c:pt>
                <c:pt idx="4">
                  <c:v>44022</c:v>
                </c:pt>
                <c:pt idx="5">
                  <c:v>44021</c:v>
                </c:pt>
                <c:pt idx="6">
                  <c:v>44020</c:v>
                </c:pt>
                <c:pt idx="7">
                  <c:v>44019</c:v>
                </c:pt>
                <c:pt idx="8">
                  <c:v>44018</c:v>
                </c:pt>
                <c:pt idx="9">
                  <c:v>44014</c:v>
                </c:pt>
                <c:pt idx="10">
                  <c:v>44013</c:v>
                </c:pt>
                <c:pt idx="11">
                  <c:v>44012</c:v>
                </c:pt>
                <c:pt idx="12">
                  <c:v>44011</c:v>
                </c:pt>
                <c:pt idx="13">
                  <c:v>44008</c:v>
                </c:pt>
                <c:pt idx="14">
                  <c:v>44007</c:v>
                </c:pt>
                <c:pt idx="15">
                  <c:v>44006</c:v>
                </c:pt>
                <c:pt idx="16">
                  <c:v>44005</c:v>
                </c:pt>
                <c:pt idx="17">
                  <c:v>44004</c:v>
                </c:pt>
                <c:pt idx="18">
                  <c:v>44001</c:v>
                </c:pt>
                <c:pt idx="19">
                  <c:v>44000</c:v>
                </c:pt>
                <c:pt idx="20">
                  <c:v>43999</c:v>
                </c:pt>
                <c:pt idx="21">
                  <c:v>43998</c:v>
                </c:pt>
                <c:pt idx="22">
                  <c:v>43997</c:v>
                </c:pt>
                <c:pt idx="23">
                  <c:v>43994</c:v>
                </c:pt>
                <c:pt idx="24">
                  <c:v>43993</c:v>
                </c:pt>
                <c:pt idx="25">
                  <c:v>43992</c:v>
                </c:pt>
                <c:pt idx="26">
                  <c:v>43991</c:v>
                </c:pt>
                <c:pt idx="27">
                  <c:v>43990</c:v>
                </c:pt>
                <c:pt idx="28">
                  <c:v>43987</c:v>
                </c:pt>
                <c:pt idx="29">
                  <c:v>43986</c:v>
                </c:pt>
                <c:pt idx="30">
                  <c:v>43985</c:v>
                </c:pt>
                <c:pt idx="31">
                  <c:v>43984</c:v>
                </c:pt>
                <c:pt idx="32">
                  <c:v>43983</c:v>
                </c:pt>
                <c:pt idx="33">
                  <c:v>43980</c:v>
                </c:pt>
                <c:pt idx="34">
                  <c:v>43979</c:v>
                </c:pt>
                <c:pt idx="35">
                  <c:v>43978</c:v>
                </c:pt>
                <c:pt idx="36">
                  <c:v>43977</c:v>
                </c:pt>
                <c:pt idx="37">
                  <c:v>43973</c:v>
                </c:pt>
                <c:pt idx="38">
                  <c:v>43972</c:v>
                </c:pt>
                <c:pt idx="39">
                  <c:v>43971</c:v>
                </c:pt>
                <c:pt idx="40">
                  <c:v>43970</c:v>
                </c:pt>
              </c:numCache>
            </c:numRef>
          </c:cat>
          <c:val>
            <c:numRef>
              <c:f>'Stock Data'!$AQ$8:$AQ$48</c:f>
              <c:numCache>
                <c:formatCode>General</c:formatCode>
                <c:ptCount val="41"/>
                <c:pt idx="0">
                  <c:v>62.81</c:v>
                </c:pt>
                <c:pt idx="1">
                  <c:v>63.22</c:v>
                </c:pt>
                <c:pt idx="2">
                  <c:v>60.56</c:v>
                </c:pt>
                <c:pt idx="3">
                  <c:v>60.8</c:v>
                </c:pt>
                <c:pt idx="4">
                  <c:v>60.2</c:v>
                </c:pt>
                <c:pt idx="5">
                  <c:v>60.88</c:v>
                </c:pt>
                <c:pt idx="6">
                  <c:v>61.64</c:v>
                </c:pt>
                <c:pt idx="7">
                  <c:v>62.83</c:v>
                </c:pt>
                <c:pt idx="8">
                  <c:v>63.83</c:v>
                </c:pt>
                <c:pt idx="9">
                  <c:v>63.46</c:v>
                </c:pt>
                <c:pt idx="10">
                  <c:v>62.9</c:v>
                </c:pt>
                <c:pt idx="11">
                  <c:v>61.86</c:v>
                </c:pt>
                <c:pt idx="12">
                  <c:v>61.92</c:v>
                </c:pt>
                <c:pt idx="13">
                  <c:v>61.42</c:v>
                </c:pt>
                <c:pt idx="14">
                  <c:v>61.38</c:v>
                </c:pt>
                <c:pt idx="15">
                  <c:v>64.010000000000005</c:v>
                </c:pt>
                <c:pt idx="16">
                  <c:v>65.78</c:v>
                </c:pt>
                <c:pt idx="17">
                  <c:v>65.42</c:v>
                </c:pt>
                <c:pt idx="18">
                  <c:v>68.36</c:v>
                </c:pt>
                <c:pt idx="19">
                  <c:v>67.430000000000007</c:v>
                </c:pt>
                <c:pt idx="20">
                  <c:v>68.2</c:v>
                </c:pt>
                <c:pt idx="21">
                  <c:v>70.099999999999994</c:v>
                </c:pt>
                <c:pt idx="22">
                  <c:v>67.760000000000005</c:v>
                </c:pt>
                <c:pt idx="23">
                  <c:v>66.069999999999993</c:v>
                </c:pt>
                <c:pt idx="24">
                  <c:v>65.709999999999994</c:v>
                </c:pt>
                <c:pt idx="25">
                  <c:v>70.290000000000006</c:v>
                </c:pt>
                <c:pt idx="26">
                  <c:v>72.650000000000006</c:v>
                </c:pt>
                <c:pt idx="27">
                  <c:v>74.930000000000007</c:v>
                </c:pt>
                <c:pt idx="28">
                  <c:v>73.739999999999995</c:v>
                </c:pt>
                <c:pt idx="29">
                  <c:v>67.83</c:v>
                </c:pt>
                <c:pt idx="30">
                  <c:v>67.73</c:v>
                </c:pt>
                <c:pt idx="31">
                  <c:v>64.2</c:v>
                </c:pt>
                <c:pt idx="32">
                  <c:v>66.040000000000006</c:v>
                </c:pt>
                <c:pt idx="33">
                  <c:v>66.599999999999994</c:v>
                </c:pt>
                <c:pt idx="34">
                  <c:v>68.78</c:v>
                </c:pt>
                <c:pt idx="35">
                  <c:v>67.989999999999995</c:v>
                </c:pt>
                <c:pt idx="36">
                  <c:v>65.55</c:v>
                </c:pt>
                <c:pt idx="37">
                  <c:v>60.77</c:v>
                </c:pt>
                <c:pt idx="38">
                  <c:v>60.21</c:v>
                </c:pt>
                <c:pt idx="39">
                  <c:v>59.07</c:v>
                </c:pt>
                <c:pt idx="40">
                  <c:v>60.14</c:v>
                </c:pt>
              </c:numCache>
            </c:numRef>
          </c:val>
          <c:extLst>
            <c:ext xmlns:c16="http://schemas.microsoft.com/office/drawing/2014/chart" uri="{C3380CC4-5D6E-409C-BE32-E72D297353CC}">
              <c16:uniqueId val="{00000000-B365-4652-B8DF-3E2956CD9060}"/>
            </c:ext>
          </c:extLst>
        </c:ser>
        <c:dLbls>
          <c:showLegendKey val="0"/>
          <c:showVal val="0"/>
          <c:showCatName val="0"/>
          <c:showSerName val="0"/>
          <c:showPercent val="0"/>
          <c:showBubbleSize val="0"/>
        </c:dLbls>
        <c:gapWidth val="150"/>
        <c:axId val="1160694568"/>
        <c:axId val="1068143664"/>
      </c:barChart>
      <c:stockChart>
        <c:ser>
          <c:idx val="1"/>
          <c:order val="1"/>
          <c:tx>
            <c:v>Low</c:v>
          </c:tx>
          <c:spPr>
            <a:ln w="19050" cap="rnd">
              <a:noFill/>
              <a:round/>
            </a:ln>
            <a:effectLst/>
          </c:spPr>
          <c:marker>
            <c:symbol val="none"/>
          </c:marker>
          <c:cat>
            <c:strRef>
              <c:f>'Stock Data'!$AO$7:$AO$48</c:f>
              <c:strCache>
                <c:ptCount val="42"/>
                <c:pt idx="0">
                  <c:v>Date</c:v>
                </c:pt>
                <c:pt idx="1">
                  <c:v>7/16/2020</c:v>
                </c:pt>
                <c:pt idx="2">
                  <c:v>7/15/2020</c:v>
                </c:pt>
                <c:pt idx="3">
                  <c:v>7/14/2020</c:v>
                </c:pt>
                <c:pt idx="4">
                  <c:v>7/13/2020</c:v>
                </c:pt>
                <c:pt idx="5">
                  <c:v>7/10/2020</c:v>
                </c:pt>
                <c:pt idx="6">
                  <c:v>7/9/2020</c:v>
                </c:pt>
                <c:pt idx="7">
                  <c:v>7/8/2020</c:v>
                </c:pt>
                <c:pt idx="8">
                  <c:v>7/7/2020</c:v>
                </c:pt>
                <c:pt idx="9">
                  <c:v>7/6/2020</c:v>
                </c:pt>
                <c:pt idx="10">
                  <c:v>7/2/2020</c:v>
                </c:pt>
                <c:pt idx="11">
                  <c:v>7/1/2020</c:v>
                </c:pt>
                <c:pt idx="12">
                  <c:v>6/30/2020</c:v>
                </c:pt>
                <c:pt idx="13">
                  <c:v>6/29/2020</c:v>
                </c:pt>
                <c:pt idx="14">
                  <c:v>6/26/2020</c:v>
                </c:pt>
                <c:pt idx="15">
                  <c:v>6/25/2020</c:v>
                </c:pt>
                <c:pt idx="16">
                  <c:v>6/24/2020</c:v>
                </c:pt>
                <c:pt idx="17">
                  <c:v>6/23/2020</c:v>
                </c:pt>
                <c:pt idx="18">
                  <c:v>6/22/2020</c:v>
                </c:pt>
                <c:pt idx="19">
                  <c:v>6/19/2020</c:v>
                </c:pt>
                <c:pt idx="20">
                  <c:v>6/18/2020</c:v>
                </c:pt>
                <c:pt idx="21">
                  <c:v>6/17/2020</c:v>
                </c:pt>
                <c:pt idx="22">
                  <c:v>6/16/2020</c:v>
                </c:pt>
                <c:pt idx="23">
                  <c:v>6/15/2020</c:v>
                </c:pt>
                <c:pt idx="24">
                  <c:v>6/12/2020</c:v>
                </c:pt>
                <c:pt idx="25">
                  <c:v>6/11/2020</c:v>
                </c:pt>
                <c:pt idx="26">
                  <c:v>6/10/2020</c:v>
                </c:pt>
                <c:pt idx="27">
                  <c:v>6/9/2020</c:v>
                </c:pt>
                <c:pt idx="28">
                  <c:v>6/8/2020</c:v>
                </c:pt>
                <c:pt idx="29">
                  <c:v>6/5/2020</c:v>
                </c:pt>
                <c:pt idx="30">
                  <c:v>6/4/2020</c:v>
                </c:pt>
                <c:pt idx="31">
                  <c:v>6/3/2020</c:v>
                </c:pt>
                <c:pt idx="32">
                  <c:v>6/2/2020</c:v>
                </c:pt>
                <c:pt idx="33">
                  <c:v>6/1/2020</c:v>
                </c:pt>
                <c:pt idx="34">
                  <c:v>5/29/2020</c:v>
                </c:pt>
                <c:pt idx="35">
                  <c:v>5/28/2020</c:v>
                </c:pt>
                <c:pt idx="36">
                  <c:v>5/27/2020</c:v>
                </c:pt>
                <c:pt idx="37">
                  <c:v>5/26/2020</c:v>
                </c:pt>
                <c:pt idx="38">
                  <c:v>5/22/2020</c:v>
                </c:pt>
                <c:pt idx="39">
                  <c:v>5/21/2020</c:v>
                </c:pt>
                <c:pt idx="40">
                  <c:v>5/20/2020</c:v>
                </c:pt>
                <c:pt idx="41">
                  <c:v>5/19/2020</c:v>
                </c:pt>
              </c:strCache>
            </c:strRef>
          </c:cat>
          <c:val>
            <c:numRef>
              <c:f>'Stock Data'!$AR$8:$AR$48</c:f>
              <c:numCache>
                <c:formatCode>General</c:formatCode>
                <c:ptCount val="41"/>
                <c:pt idx="0">
                  <c:v>61.45</c:v>
                </c:pt>
                <c:pt idx="1">
                  <c:v>62.05</c:v>
                </c:pt>
                <c:pt idx="2">
                  <c:v>58.45</c:v>
                </c:pt>
                <c:pt idx="3">
                  <c:v>58.74</c:v>
                </c:pt>
                <c:pt idx="4">
                  <c:v>58.77</c:v>
                </c:pt>
                <c:pt idx="5">
                  <c:v>58.06</c:v>
                </c:pt>
                <c:pt idx="6">
                  <c:v>60.2</c:v>
                </c:pt>
                <c:pt idx="7">
                  <c:v>60.94</c:v>
                </c:pt>
                <c:pt idx="8">
                  <c:v>62.12</c:v>
                </c:pt>
                <c:pt idx="9">
                  <c:v>61.62</c:v>
                </c:pt>
                <c:pt idx="10">
                  <c:v>61.23</c:v>
                </c:pt>
                <c:pt idx="11">
                  <c:v>60.08</c:v>
                </c:pt>
                <c:pt idx="12">
                  <c:v>59.8</c:v>
                </c:pt>
                <c:pt idx="13">
                  <c:v>58.94</c:v>
                </c:pt>
                <c:pt idx="14">
                  <c:v>59.96</c:v>
                </c:pt>
                <c:pt idx="15">
                  <c:v>61.07</c:v>
                </c:pt>
                <c:pt idx="16">
                  <c:v>64.16</c:v>
                </c:pt>
                <c:pt idx="17">
                  <c:v>63.93</c:v>
                </c:pt>
                <c:pt idx="18">
                  <c:v>64.47</c:v>
                </c:pt>
                <c:pt idx="19">
                  <c:v>65.61</c:v>
                </c:pt>
                <c:pt idx="20">
                  <c:v>66.63</c:v>
                </c:pt>
                <c:pt idx="21">
                  <c:v>66.05</c:v>
                </c:pt>
                <c:pt idx="22">
                  <c:v>62.44</c:v>
                </c:pt>
                <c:pt idx="23">
                  <c:v>63.36</c:v>
                </c:pt>
                <c:pt idx="24">
                  <c:v>62.82</c:v>
                </c:pt>
                <c:pt idx="25">
                  <c:v>68.05</c:v>
                </c:pt>
                <c:pt idx="26">
                  <c:v>70.510000000000005</c:v>
                </c:pt>
                <c:pt idx="27">
                  <c:v>72.5</c:v>
                </c:pt>
                <c:pt idx="28">
                  <c:v>71</c:v>
                </c:pt>
                <c:pt idx="29">
                  <c:v>66.31</c:v>
                </c:pt>
                <c:pt idx="30">
                  <c:v>64.44</c:v>
                </c:pt>
                <c:pt idx="31">
                  <c:v>62.56</c:v>
                </c:pt>
                <c:pt idx="32">
                  <c:v>64.069999999999993</c:v>
                </c:pt>
                <c:pt idx="33">
                  <c:v>64.14</c:v>
                </c:pt>
                <c:pt idx="34">
                  <c:v>66.14</c:v>
                </c:pt>
                <c:pt idx="35">
                  <c:v>65.17</c:v>
                </c:pt>
                <c:pt idx="36">
                  <c:v>62.36</c:v>
                </c:pt>
                <c:pt idx="37">
                  <c:v>59.33</c:v>
                </c:pt>
                <c:pt idx="38">
                  <c:v>58.2</c:v>
                </c:pt>
                <c:pt idx="39">
                  <c:v>57.69</c:v>
                </c:pt>
                <c:pt idx="40">
                  <c:v>57.4</c:v>
                </c:pt>
              </c:numCache>
            </c:numRef>
          </c:val>
          <c:smooth val="0"/>
          <c:extLst>
            <c:ext xmlns:c16="http://schemas.microsoft.com/office/drawing/2014/chart" uri="{C3380CC4-5D6E-409C-BE32-E72D297353CC}">
              <c16:uniqueId val="{00000001-B365-4652-B8DF-3E2956CD9060}"/>
            </c:ext>
          </c:extLst>
        </c:ser>
        <c:ser>
          <c:idx val="2"/>
          <c:order val="2"/>
          <c:tx>
            <c:v>Close</c:v>
          </c:tx>
          <c:spPr>
            <a:ln w="19050" cap="rnd">
              <a:noFill/>
              <a:round/>
            </a:ln>
            <a:effectLst/>
          </c:spPr>
          <c:marker>
            <c:symbol val="none"/>
          </c:marker>
          <c:cat>
            <c:strRef>
              <c:f>'Stock Data'!$AO$7:$AO$48</c:f>
              <c:strCache>
                <c:ptCount val="42"/>
                <c:pt idx="0">
                  <c:v>Date</c:v>
                </c:pt>
                <c:pt idx="1">
                  <c:v>7/16/2020</c:v>
                </c:pt>
                <c:pt idx="2">
                  <c:v>7/15/2020</c:v>
                </c:pt>
                <c:pt idx="3">
                  <c:v>7/14/2020</c:v>
                </c:pt>
                <c:pt idx="4">
                  <c:v>7/13/2020</c:v>
                </c:pt>
                <c:pt idx="5">
                  <c:v>7/10/2020</c:v>
                </c:pt>
                <c:pt idx="6">
                  <c:v>7/9/2020</c:v>
                </c:pt>
                <c:pt idx="7">
                  <c:v>7/8/2020</c:v>
                </c:pt>
                <c:pt idx="8">
                  <c:v>7/7/2020</c:v>
                </c:pt>
                <c:pt idx="9">
                  <c:v>7/6/2020</c:v>
                </c:pt>
                <c:pt idx="10">
                  <c:v>7/2/2020</c:v>
                </c:pt>
                <c:pt idx="11">
                  <c:v>7/1/2020</c:v>
                </c:pt>
                <c:pt idx="12">
                  <c:v>6/30/2020</c:v>
                </c:pt>
                <c:pt idx="13">
                  <c:v>6/29/2020</c:v>
                </c:pt>
                <c:pt idx="14">
                  <c:v>6/26/2020</c:v>
                </c:pt>
                <c:pt idx="15">
                  <c:v>6/25/2020</c:v>
                </c:pt>
                <c:pt idx="16">
                  <c:v>6/24/2020</c:v>
                </c:pt>
                <c:pt idx="17">
                  <c:v>6/23/2020</c:v>
                </c:pt>
                <c:pt idx="18">
                  <c:v>6/22/2020</c:v>
                </c:pt>
                <c:pt idx="19">
                  <c:v>6/19/2020</c:v>
                </c:pt>
                <c:pt idx="20">
                  <c:v>6/18/2020</c:v>
                </c:pt>
                <c:pt idx="21">
                  <c:v>6/17/2020</c:v>
                </c:pt>
                <c:pt idx="22">
                  <c:v>6/16/2020</c:v>
                </c:pt>
                <c:pt idx="23">
                  <c:v>6/15/2020</c:v>
                </c:pt>
                <c:pt idx="24">
                  <c:v>6/12/2020</c:v>
                </c:pt>
                <c:pt idx="25">
                  <c:v>6/11/2020</c:v>
                </c:pt>
                <c:pt idx="26">
                  <c:v>6/10/2020</c:v>
                </c:pt>
                <c:pt idx="27">
                  <c:v>6/9/2020</c:v>
                </c:pt>
                <c:pt idx="28">
                  <c:v>6/8/2020</c:v>
                </c:pt>
                <c:pt idx="29">
                  <c:v>6/5/2020</c:v>
                </c:pt>
                <c:pt idx="30">
                  <c:v>6/4/2020</c:v>
                </c:pt>
                <c:pt idx="31">
                  <c:v>6/3/2020</c:v>
                </c:pt>
                <c:pt idx="32">
                  <c:v>6/2/2020</c:v>
                </c:pt>
                <c:pt idx="33">
                  <c:v>6/1/2020</c:v>
                </c:pt>
                <c:pt idx="34">
                  <c:v>5/29/2020</c:v>
                </c:pt>
                <c:pt idx="35">
                  <c:v>5/28/2020</c:v>
                </c:pt>
                <c:pt idx="36">
                  <c:v>5/27/2020</c:v>
                </c:pt>
                <c:pt idx="37">
                  <c:v>5/26/2020</c:v>
                </c:pt>
                <c:pt idx="38">
                  <c:v>5/22/2020</c:v>
                </c:pt>
                <c:pt idx="39">
                  <c:v>5/21/2020</c:v>
                </c:pt>
                <c:pt idx="40">
                  <c:v>5/20/2020</c:v>
                </c:pt>
                <c:pt idx="41">
                  <c:v>5/19/2020</c:v>
                </c:pt>
              </c:strCache>
            </c:strRef>
          </c:cat>
          <c:val>
            <c:numRef>
              <c:f>'Stock Data'!$AS$8:$AS$48</c:f>
              <c:numCache>
                <c:formatCode>General</c:formatCode>
                <c:ptCount val="41"/>
                <c:pt idx="0">
                  <c:v>62.37</c:v>
                </c:pt>
                <c:pt idx="1">
                  <c:v>62.94</c:v>
                </c:pt>
                <c:pt idx="2">
                  <c:v>60.47</c:v>
                </c:pt>
                <c:pt idx="3">
                  <c:v>59.35</c:v>
                </c:pt>
                <c:pt idx="4">
                  <c:v>59.64</c:v>
                </c:pt>
                <c:pt idx="5">
                  <c:v>58.11</c:v>
                </c:pt>
                <c:pt idx="6">
                  <c:v>61.01</c:v>
                </c:pt>
                <c:pt idx="7">
                  <c:v>61.01</c:v>
                </c:pt>
                <c:pt idx="8">
                  <c:v>63.32</c:v>
                </c:pt>
                <c:pt idx="9">
                  <c:v>61.79</c:v>
                </c:pt>
                <c:pt idx="10">
                  <c:v>61.61</c:v>
                </c:pt>
                <c:pt idx="11">
                  <c:v>61.62</c:v>
                </c:pt>
                <c:pt idx="12">
                  <c:v>61.92</c:v>
                </c:pt>
                <c:pt idx="13">
                  <c:v>59.1</c:v>
                </c:pt>
                <c:pt idx="14">
                  <c:v>61.06</c:v>
                </c:pt>
                <c:pt idx="15">
                  <c:v>61.72</c:v>
                </c:pt>
                <c:pt idx="16">
                  <c:v>64.540000000000006</c:v>
                </c:pt>
                <c:pt idx="17">
                  <c:v>65.040000000000006</c:v>
                </c:pt>
                <c:pt idx="18">
                  <c:v>64.89</c:v>
                </c:pt>
                <c:pt idx="19">
                  <c:v>66.88</c:v>
                </c:pt>
                <c:pt idx="20">
                  <c:v>66.900000000000006</c:v>
                </c:pt>
                <c:pt idx="21">
                  <c:v>67.819999999999993</c:v>
                </c:pt>
                <c:pt idx="22">
                  <c:v>67.05</c:v>
                </c:pt>
                <c:pt idx="23">
                  <c:v>65.37</c:v>
                </c:pt>
                <c:pt idx="24">
                  <c:v>62.85</c:v>
                </c:pt>
                <c:pt idx="25">
                  <c:v>68.36</c:v>
                </c:pt>
                <c:pt idx="26">
                  <c:v>70.540000000000006</c:v>
                </c:pt>
                <c:pt idx="27">
                  <c:v>74.16</c:v>
                </c:pt>
                <c:pt idx="28">
                  <c:v>72.069999999999993</c:v>
                </c:pt>
                <c:pt idx="29">
                  <c:v>67.510000000000005</c:v>
                </c:pt>
                <c:pt idx="30">
                  <c:v>67.47</c:v>
                </c:pt>
                <c:pt idx="31">
                  <c:v>63.4</c:v>
                </c:pt>
                <c:pt idx="32">
                  <c:v>64.12</c:v>
                </c:pt>
                <c:pt idx="33">
                  <c:v>64.52</c:v>
                </c:pt>
                <c:pt idx="34">
                  <c:v>67.27</c:v>
                </c:pt>
                <c:pt idx="35">
                  <c:v>66.650000000000006</c:v>
                </c:pt>
                <c:pt idx="36">
                  <c:v>64.47</c:v>
                </c:pt>
                <c:pt idx="37">
                  <c:v>60</c:v>
                </c:pt>
                <c:pt idx="38">
                  <c:v>60.1</c:v>
                </c:pt>
                <c:pt idx="39">
                  <c:v>57.8</c:v>
                </c:pt>
                <c:pt idx="40">
                  <c:v>57.94</c:v>
                </c:pt>
              </c:numCache>
            </c:numRef>
          </c:val>
          <c:smooth val="0"/>
          <c:extLst>
            <c:ext xmlns:c16="http://schemas.microsoft.com/office/drawing/2014/chart" uri="{C3380CC4-5D6E-409C-BE32-E72D297353CC}">
              <c16:uniqueId val="{00000002-B365-4652-B8DF-3E2956CD9060}"/>
            </c:ext>
          </c:extLst>
        </c:ser>
        <c:ser>
          <c:idx val="3"/>
          <c:order val="3"/>
          <c:tx>
            <c:v>Volume</c:v>
          </c:tx>
          <c:spPr>
            <a:ln w="19050" cap="rnd">
              <a:noFill/>
              <a:round/>
            </a:ln>
            <a:effectLst/>
          </c:spPr>
          <c:marker>
            <c:symbol val="dot"/>
            <c:size val="5"/>
            <c:spPr>
              <a:solidFill>
                <a:schemeClr val="accent4"/>
              </a:solidFill>
              <a:ln w="9525">
                <a:solidFill>
                  <a:schemeClr val="accent4"/>
                </a:solidFill>
              </a:ln>
              <a:effectLst/>
            </c:spPr>
          </c:marker>
          <c:cat>
            <c:strRef>
              <c:f>'Stock Data'!$AO$7:$AO$48</c:f>
              <c:strCache>
                <c:ptCount val="42"/>
                <c:pt idx="0">
                  <c:v>Date</c:v>
                </c:pt>
                <c:pt idx="1">
                  <c:v>7/16/2020</c:v>
                </c:pt>
                <c:pt idx="2">
                  <c:v>7/15/2020</c:v>
                </c:pt>
                <c:pt idx="3">
                  <c:v>7/14/2020</c:v>
                </c:pt>
                <c:pt idx="4">
                  <c:v>7/13/2020</c:v>
                </c:pt>
                <c:pt idx="5">
                  <c:v>7/10/2020</c:v>
                </c:pt>
                <c:pt idx="6">
                  <c:v>7/9/2020</c:v>
                </c:pt>
                <c:pt idx="7">
                  <c:v>7/8/2020</c:v>
                </c:pt>
                <c:pt idx="8">
                  <c:v>7/7/2020</c:v>
                </c:pt>
                <c:pt idx="9">
                  <c:v>7/6/2020</c:v>
                </c:pt>
                <c:pt idx="10">
                  <c:v>7/2/2020</c:v>
                </c:pt>
                <c:pt idx="11">
                  <c:v>7/1/2020</c:v>
                </c:pt>
                <c:pt idx="12">
                  <c:v>6/30/2020</c:v>
                </c:pt>
                <c:pt idx="13">
                  <c:v>6/29/2020</c:v>
                </c:pt>
                <c:pt idx="14">
                  <c:v>6/26/2020</c:v>
                </c:pt>
                <c:pt idx="15">
                  <c:v>6/25/2020</c:v>
                </c:pt>
                <c:pt idx="16">
                  <c:v>6/24/2020</c:v>
                </c:pt>
                <c:pt idx="17">
                  <c:v>6/23/2020</c:v>
                </c:pt>
                <c:pt idx="18">
                  <c:v>6/22/2020</c:v>
                </c:pt>
                <c:pt idx="19">
                  <c:v>6/19/2020</c:v>
                </c:pt>
                <c:pt idx="20">
                  <c:v>6/18/2020</c:v>
                </c:pt>
                <c:pt idx="21">
                  <c:v>6/17/2020</c:v>
                </c:pt>
                <c:pt idx="22">
                  <c:v>6/16/2020</c:v>
                </c:pt>
                <c:pt idx="23">
                  <c:v>6/15/2020</c:v>
                </c:pt>
                <c:pt idx="24">
                  <c:v>6/12/2020</c:v>
                </c:pt>
                <c:pt idx="25">
                  <c:v>6/11/2020</c:v>
                </c:pt>
                <c:pt idx="26">
                  <c:v>6/10/2020</c:v>
                </c:pt>
                <c:pt idx="27">
                  <c:v>6/9/2020</c:v>
                </c:pt>
                <c:pt idx="28">
                  <c:v>6/8/2020</c:v>
                </c:pt>
                <c:pt idx="29">
                  <c:v>6/5/2020</c:v>
                </c:pt>
                <c:pt idx="30">
                  <c:v>6/4/2020</c:v>
                </c:pt>
                <c:pt idx="31">
                  <c:v>6/3/2020</c:v>
                </c:pt>
                <c:pt idx="32">
                  <c:v>6/2/2020</c:v>
                </c:pt>
                <c:pt idx="33">
                  <c:v>6/1/2020</c:v>
                </c:pt>
                <c:pt idx="34">
                  <c:v>5/29/2020</c:v>
                </c:pt>
                <c:pt idx="35">
                  <c:v>5/28/2020</c:v>
                </c:pt>
                <c:pt idx="36">
                  <c:v>5/27/2020</c:v>
                </c:pt>
                <c:pt idx="37">
                  <c:v>5/26/2020</c:v>
                </c:pt>
                <c:pt idx="38">
                  <c:v>5/22/2020</c:v>
                </c:pt>
                <c:pt idx="39">
                  <c:v>5/21/2020</c:v>
                </c:pt>
                <c:pt idx="40">
                  <c:v>5/20/2020</c:v>
                </c:pt>
                <c:pt idx="41">
                  <c:v>5/19/2020</c:v>
                </c:pt>
              </c:strCache>
            </c:strRef>
          </c:cat>
          <c:val>
            <c:numRef>
              <c:f>'Stock Data'!$AU$8:$AU$48</c:f>
              <c:numCache>
                <c:formatCode>General</c:formatCode>
                <c:ptCount val="41"/>
                <c:pt idx="0">
                  <c:v>5684100</c:v>
                </c:pt>
                <c:pt idx="1">
                  <c:v>9036900</c:v>
                </c:pt>
                <c:pt idx="2">
                  <c:v>7256800</c:v>
                </c:pt>
                <c:pt idx="3">
                  <c:v>7440800</c:v>
                </c:pt>
                <c:pt idx="4">
                  <c:v>10458000</c:v>
                </c:pt>
                <c:pt idx="5">
                  <c:v>10778900</c:v>
                </c:pt>
                <c:pt idx="6">
                  <c:v>9306900</c:v>
                </c:pt>
                <c:pt idx="7">
                  <c:v>8783000</c:v>
                </c:pt>
                <c:pt idx="8">
                  <c:v>6128200</c:v>
                </c:pt>
                <c:pt idx="9">
                  <c:v>8238300</c:v>
                </c:pt>
                <c:pt idx="10">
                  <c:v>6860300</c:v>
                </c:pt>
                <c:pt idx="11">
                  <c:v>10746400</c:v>
                </c:pt>
                <c:pt idx="12">
                  <c:v>8908700</c:v>
                </c:pt>
                <c:pt idx="13">
                  <c:v>17537900</c:v>
                </c:pt>
                <c:pt idx="14">
                  <c:v>12717400</c:v>
                </c:pt>
                <c:pt idx="15">
                  <c:v>9880500</c:v>
                </c:pt>
                <c:pt idx="16">
                  <c:v>6935100</c:v>
                </c:pt>
                <c:pt idx="17">
                  <c:v>7566100</c:v>
                </c:pt>
                <c:pt idx="18">
                  <c:v>19144400</c:v>
                </c:pt>
                <c:pt idx="19">
                  <c:v>6431100</c:v>
                </c:pt>
                <c:pt idx="20">
                  <c:v>9289800</c:v>
                </c:pt>
                <c:pt idx="21">
                  <c:v>11523900</c:v>
                </c:pt>
                <c:pt idx="22">
                  <c:v>13553100</c:v>
                </c:pt>
                <c:pt idx="23">
                  <c:v>9584500</c:v>
                </c:pt>
                <c:pt idx="24">
                  <c:v>13709000</c:v>
                </c:pt>
                <c:pt idx="25">
                  <c:v>9765900</c:v>
                </c:pt>
                <c:pt idx="26">
                  <c:v>9964900</c:v>
                </c:pt>
                <c:pt idx="27">
                  <c:v>11945500</c:v>
                </c:pt>
                <c:pt idx="28">
                  <c:v>14203100</c:v>
                </c:pt>
                <c:pt idx="29">
                  <c:v>10135000</c:v>
                </c:pt>
                <c:pt idx="30">
                  <c:v>15875900</c:v>
                </c:pt>
                <c:pt idx="31">
                  <c:v>14938400</c:v>
                </c:pt>
                <c:pt idx="32">
                  <c:v>11314000</c:v>
                </c:pt>
                <c:pt idx="33">
                  <c:v>13959000</c:v>
                </c:pt>
                <c:pt idx="34">
                  <c:v>12683200</c:v>
                </c:pt>
                <c:pt idx="35">
                  <c:v>13951600</c:v>
                </c:pt>
                <c:pt idx="36">
                  <c:v>15937800</c:v>
                </c:pt>
                <c:pt idx="37">
                  <c:v>6510700</c:v>
                </c:pt>
                <c:pt idx="38">
                  <c:v>10309900</c:v>
                </c:pt>
                <c:pt idx="39">
                  <c:v>10344800</c:v>
                </c:pt>
                <c:pt idx="40">
                  <c:v>14442300</c:v>
                </c:pt>
              </c:numCache>
            </c:numRef>
          </c:val>
          <c:smooth val="0"/>
          <c:extLst>
            <c:ext xmlns:c16="http://schemas.microsoft.com/office/drawing/2014/chart" uri="{C3380CC4-5D6E-409C-BE32-E72D297353CC}">
              <c16:uniqueId val="{00000003-B365-4652-B8DF-3E2956CD9060}"/>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axId val="794969296"/>
        <c:axId val="794971592"/>
      </c:stockChart>
      <c:dateAx>
        <c:axId val="1160694568"/>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43664"/>
        <c:crosses val="autoZero"/>
        <c:auto val="1"/>
        <c:lblOffset val="100"/>
        <c:baseTimeUnit val="days"/>
      </c:dateAx>
      <c:valAx>
        <c:axId val="1068143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694568"/>
        <c:crosses val="autoZero"/>
        <c:crossBetween val="between"/>
      </c:valAx>
      <c:valAx>
        <c:axId val="794971592"/>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969296"/>
        <c:crosses val="max"/>
        <c:crossBetween val="between"/>
      </c:valAx>
      <c:catAx>
        <c:axId val="794969296"/>
        <c:scaling>
          <c:orientation val="minMax"/>
        </c:scaling>
        <c:delete val="1"/>
        <c:axPos val="b"/>
        <c:numFmt formatCode="General" sourceLinked="1"/>
        <c:majorTickMark val="none"/>
        <c:minorTickMark val="none"/>
        <c:tickLblPos val="nextTo"/>
        <c:crossAx val="794971592"/>
        <c:crosses val="autoZero"/>
        <c:auto val="1"/>
        <c:lblAlgn val="ctr"/>
        <c:lblOffset val="100"/>
        <c:noMultiLvlLbl val="0"/>
      </c:catAx>
      <c:spPr>
        <a:noFill/>
        <a:ln>
          <a:noFill/>
        </a:ln>
        <a:effectLst/>
      </c:spPr>
    </c:plotArea>
    <c:legend>
      <c:legendPos val="t"/>
      <c:layout>
        <c:manualLayout>
          <c:xMode val="edge"/>
          <c:yMode val="edge"/>
          <c:x val="0.41497928209135815"/>
          <c:y val="0.25192471261947874"/>
          <c:w val="0.50267661133387354"/>
          <c:h val="0.117188320209973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[excel_project_stock.xlsm]PivotData!PivotTable17</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Diversity</a:t>
            </a:r>
          </a:p>
        </c:rich>
      </c:tx>
      <c:layout>
        <c:manualLayout>
          <c:xMode val="edge"/>
          <c:yMode val="edge"/>
          <c:x val="5.5544041450777196E-2"/>
          <c:y val="5.20325203252032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s>
    <c:plotArea>
      <c:layout>
        <c:manualLayout>
          <c:layoutTarget val="inner"/>
          <c:xMode val="edge"/>
          <c:yMode val="edge"/>
          <c:x val="0.32247861504358588"/>
          <c:y val="0.33148044299340629"/>
          <c:w val="0.33777161274529804"/>
          <c:h val="0.63599923180334161"/>
        </c:manualLayout>
      </c:layout>
      <c:pieChart>
        <c:varyColors val="1"/>
        <c:ser>
          <c:idx val="0"/>
          <c:order val="0"/>
          <c:tx>
            <c:strRef>
              <c:f>PivotData!$B$8</c:f>
              <c:strCache>
                <c:ptCount val="1"/>
                <c:pt idx="0">
                  <c:v>Sum of Preference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9D-4140-939C-870D017F14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9D-4140-939C-870D017F14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9D-4140-939C-870D017F14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9D-4140-939C-870D017F1413}"/>
              </c:ext>
            </c:extLst>
          </c:dPt>
          <c:cat>
            <c:strRef>
              <c:f>PivotData!$A$9:$A$13</c:f>
              <c:strCache>
                <c:ptCount val="4"/>
                <c:pt idx="0">
                  <c:v>Defense</c:v>
                </c:pt>
                <c:pt idx="1">
                  <c:v>Green Stocks</c:v>
                </c:pt>
                <c:pt idx="2">
                  <c:v>Oil &amp; Gas</c:v>
                </c:pt>
                <c:pt idx="3">
                  <c:v>Technology</c:v>
                </c:pt>
              </c:strCache>
            </c:strRef>
          </c:cat>
          <c:val>
            <c:numRef>
              <c:f>PivotData!$B$9:$B$13</c:f>
              <c:numCache>
                <c:formatCode>0.00%</c:formatCode>
                <c:ptCount val="4"/>
                <c:pt idx="0">
                  <c:v>0.2</c:v>
                </c:pt>
                <c:pt idx="1">
                  <c:v>0.4</c:v>
                </c:pt>
                <c:pt idx="2">
                  <c:v>0.15</c:v>
                </c:pt>
                <c:pt idx="3">
                  <c:v>0.2</c:v>
                </c:pt>
              </c:numCache>
            </c:numRef>
          </c:val>
          <c:extLst>
            <c:ext xmlns:c16="http://schemas.microsoft.com/office/drawing/2014/chart" uri="{C3380CC4-5D6E-409C-BE32-E72D297353CC}">
              <c16:uniqueId val="{00000008-AE9D-4140-939C-870D017F1413}"/>
            </c:ext>
          </c:extLst>
        </c:ser>
        <c:ser>
          <c:idx val="1"/>
          <c:order val="1"/>
          <c:tx>
            <c:strRef>
              <c:f>PivotData!$C$8</c:f>
              <c:strCache>
                <c:ptCount val="1"/>
                <c:pt idx="0">
                  <c:v>Sum of Equity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AE9D-4140-939C-870D017F14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AE9D-4140-939C-870D017F14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AE9D-4140-939C-870D017F14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AE9D-4140-939C-870D017F1413}"/>
              </c:ext>
            </c:extLst>
          </c:dPt>
          <c:cat>
            <c:strRef>
              <c:f>PivotData!$A$9:$A$13</c:f>
              <c:strCache>
                <c:ptCount val="4"/>
                <c:pt idx="0">
                  <c:v>Defense</c:v>
                </c:pt>
                <c:pt idx="1">
                  <c:v>Green Stocks</c:v>
                </c:pt>
                <c:pt idx="2">
                  <c:v>Oil &amp; Gas</c:v>
                </c:pt>
                <c:pt idx="3">
                  <c:v>Technology</c:v>
                </c:pt>
              </c:strCache>
            </c:strRef>
          </c:cat>
          <c:val>
            <c:numRef>
              <c:f>PivotData!$C$9:$C$13</c:f>
              <c:numCache>
                <c:formatCode>"$"#,##0.00</c:formatCode>
                <c:ptCount val="4"/>
                <c:pt idx="0">
                  <c:v>9149.91</c:v>
                </c:pt>
                <c:pt idx="1">
                  <c:v>32269.5</c:v>
                </c:pt>
                <c:pt idx="2">
                  <c:v>6560.72</c:v>
                </c:pt>
                <c:pt idx="3">
                  <c:v>11502.62</c:v>
                </c:pt>
              </c:numCache>
            </c:numRef>
          </c:val>
          <c:extLst>
            <c:ext xmlns:c16="http://schemas.microsoft.com/office/drawing/2014/chart" uri="{C3380CC4-5D6E-409C-BE32-E72D297353CC}">
              <c16:uniqueId val="{00000011-AE9D-4140-939C-870D017F1413}"/>
            </c:ext>
          </c:extLst>
        </c:ser>
        <c:ser>
          <c:idx val="2"/>
          <c:order val="2"/>
          <c:tx>
            <c:strRef>
              <c:f>PivotData!$D$8</c:f>
              <c:strCache>
                <c:ptCount val="1"/>
                <c:pt idx="0">
                  <c:v>Sum of Allocation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AE9D-4140-939C-870D017F14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AE9D-4140-939C-870D017F14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AE9D-4140-939C-870D017F141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9-AE9D-4140-939C-870D017F1413}"/>
              </c:ext>
            </c:extLst>
          </c:dPt>
          <c:cat>
            <c:strRef>
              <c:f>PivotData!$A$9:$A$13</c:f>
              <c:strCache>
                <c:ptCount val="4"/>
                <c:pt idx="0">
                  <c:v>Defense</c:v>
                </c:pt>
                <c:pt idx="1">
                  <c:v>Green Stocks</c:v>
                </c:pt>
                <c:pt idx="2">
                  <c:v>Oil &amp; Gas</c:v>
                </c:pt>
                <c:pt idx="3">
                  <c:v>Technology</c:v>
                </c:pt>
              </c:strCache>
            </c:strRef>
          </c:cat>
          <c:val>
            <c:numRef>
              <c:f>PivotData!$D$9:$D$13</c:f>
              <c:numCache>
                <c:formatCode>0.00%</c:formatCode>
                <c:ptCount val="4"/>
                <c:pt idx="0">
                  <c:v>0.15382459620646322</c:v>
                </c:pt>
                <c:pt idx="1">
                  <c:v>0.54250181775388662</c:v>
                </c:pt>
                <c:pt idx="2">
                  <c:v>0.11029617830379396</c:v>
                </c:pt>
                <c:pt idx="3">
                  <c:v>0.19337740773585621</c:v>
                </c:pt>
              </c:numCache>
            </c:numRef>
          </c:val>
          <c:extLst>
            <c:ext xmlns:c16="http://schemas.microsoft.com/office/drawing/2014/chart" uri="{C3380CC4-5D6E-409C-BE32-E72D297353CC}">
              <c16:uniqueId val="{0000001A-AE9D-4140-939C-870D017F1413}"/>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0.11563434104415704"/>
          <c:y val="0.21521951219512198"/>
          <c:w val="0.73905702201732559"/>
          <c:h val="9.02446706356827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52 week high</a:t>
            </a:r>
          </a:p>
        </c:rich>
      </c:tx>
      <c:layout>
        <c:manualLayout>
          <c:xMode val="edge"/>
          <c:yMode val="edge"/>
          <c:x val="2.7691861861115965E-2"/>
          <c:y val="5.88235294117647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Portfolio</c:v>
          </c:tx>
          <c:spPr>
            <a:solidFill>
              <a:schemeClr val="accent1"/>
            </a:solidFill>
            <a:ln>
              <a:noFill/>
            </a:ln>
            <a:effectLst/>
          </c:spPr>
          <c:invertIfNegative val="0"/>
          <c:cat>
            <c:strRef>
              <c:f>Buy!$A$11:$A$16</c:f>
              <c:strCache>
                <c:ptCount val="6"/>
                <c:pt idx="0">
                  <c:v>TESLA, INC. (XNAS:TSLA)</c:v>
                </c:pt>
                <c:pt idx="1">
                  <c:v>NEXTERA ENERGY, INC. (XNYS:NEE)</c:v>
                </c:pt>
                <c:pt idx="2">
                  <c:v>FACEBOOK, INC. (XNAS:FB)</c:v>
                </c:pt>
                <c:pt idx="3">
                  <c:v>CHEVRON CORPORATION (XNYS:CVX)</c:v>
                </c:pt>
                <c:pt idx="4">
                  <c:v>ROYAL DUTCH SHELL PLC (XNYS:RDS.B)</c:v>
                </c:pt>
                <c:pt idx="5">
                  <c:v>RAYTHEON TECHNOLOGIES CORPORATION (XNYS:RTX)</c:v>
                </c:pt>
              </c:strCache>
            </c:strRef>
          </c:cat>
          <c:val>
            <c:numRef>
              <c:f>Buy!$E$11:$E$16</c:f>
              <c:numCache>
                <c:formatCode>_([$$-409]* #,##0.00_);_([$$-409]* \(#,##0.00\);_([$$-409]* "-"??_);_(@_)</c:formatCode>
                <c:ptCount val="6"/>
                <c:pt idx="0">
                  <c:v>1794.99</c:v>
                </c:pt>
                <c:pt idx="1">
                  <c:v>285.63</c:v>
                </c:pt>
                <c:pt idx="2">
                  <c:v>250.15</c:v>
                </c:pt>
                <c:pt idx="3">
                  <c:v>125.27</c:v>
                </c:pt>
                <c:pt idx="4">
                  <c:v>64.23</c:v>
                </c:pt>
                <c:pt idx="5">
                  <c:v>93.447500000000005</c:v>
                </c:pt>
              </c:numCache>
            </c:numRef>
          </c:val>
          <c:extLst>
            <c:ext xmlns:c16="http://schemas.microsoft.com/office/drawing/2014/chart" uri="{C3380CC4-5D6E-409C-BE32-E72D297353CC}">
              <c16:uniqueId val="{00000000-3CFB-4554-857D-89343E563DDB}"/>
            </c:ext>
          </c:extLst>
        </c:ser>
        <c:ser>
          <c:idx val="1"/>
          <c:order val="1"/>
          <c:tx>
            <c:v>Nasdaq Index</c:v>
          </c:tx>
          <c:spPr>
            <a:solidFill>
              <a:schemeClr val="accent2"/>
            </a:solidFill>
            <a:ln>
              <a:noFill/>
            </a:ln>
            <a:effectLst/>
          </c:spPr>
          <c:invertIfNegative val="0"/>
          <c:cat>
            <c:strRef>
              <c:f>Buy!$A$11:$A$16</c:f>
              <c:strCache>
                <c:ptCount val="6"/>
                <c:pt idx="0">
                  <c:v>TESLA, INC. (XNAS:TSLA)</c:v>
                </c:pt>
                <c:pt idx="1">
                  <c:v>NEXTERA ENERGY, INC. (XNYS:NEE)</c:v>
                </c:pt>
                <c:pt idx="2">
                  <c:v>FACEBOOK, INC. (XNAS:FB)</c:v>
                </c:pt>
                <c:pt idx="3">
                  <c:v>CHEVRON CORPORATION (XNYS:CVX)</c:v>
                </c:pt>
                <c:pt idx="4">
                  <c:v>ROYAL DUTCH SHELL PLC (XNYS:RDS.B)</c:v>
                </c:pt>
                <c:pt idx="5">
                  <c:v>RAYTHEON TECHNOLOGIES CORPORATION (XNYS:RTX)</c:v>
                </c:pt>
              </c:strCache>
            </c:strRef>
          </c:cat>
          <c:val>
            <c:numRef>
              <c:f>Buy!$E$8</c:f>
              <c:numCache>
                <c:formatCode>_("$"* #,##0.00_);_("$"* \(#,##0.00\);_("$"* "-"??_);_(@_)</c:formatCode>
                <c:ptCount val="1"/>
                <c:pt idx="0">
                  <c:v>10839.928</c:v>
                </c:pt>
              </c:numCache>
            </c:numRef>
          </c:val>
          <c:extLst>
            <c:ext xmlns:c16="http://schemas.microsoft.com/office/drawing/2014/chart" uri="{C3380CC4-5D6E-409C-BE32-E72D297353CC}">
              <c16:uniqueId val="{00000001-3CFB-4554-857D-89343E563DDB}"/>
            </c:ext>
          </c:extLst>
        </c:ser>
        <c:dLbls>
          <c:showLegendKey val="0"/>
          <c:showVal val="0"/>
          <c:showCatName val="0"/>
          <c:showSerName val="0"/>
          <c:showPercent val="0"/>
          <c:showBubbleSize val="0"/>
        </c:dLbls>
        <c:gapWidth val="182"/>
        <c:axId val="896602328"/>
        <c:axId val="896605280"/>
      </c:barChart>
      <c:catAx>
        <c:axId val="896602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605280"/>
        <c:crosses val="autoZero"/>
        <c:auto val="1"/>
        <c:lblAlgn val="ctr"/>
        <c:lblOffset val="100"/>
        <c:noMultiLvlLbl val="0"/>
      </c:catAx>
      <c:valAx>
        <c:axId val="8966052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602328"/>
        <c:crosses val="autoZero"/>
        <c:crossBetween val="between"/>
      </c:valAx>
      <c:spPr>
        <a:noFill/>
        <a:ln>
          <a:noFill/>
        </a:ln>
        <a:effectLst/>
      </c:spPr>
    </c:plotArea>
    <c:legend>
      <c:legendPos val="t"/>
      <c:layout>
        <c:manualLayout>
          <c:xMode val="edge"/>
          <c:yMode val="edge"/>
          <c:x val="0.71504508308701165"/>
          <c:y val="0.20973856209150329"/>
          <c:w val="0.25550377969315352"/>
          <c:h val="0.11029488960938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a:t>
            </a:r>
          </a:p>
        </c:rich>
      </c:tx>
      <c:layout>
        <c:manualLayout>
          <c:xMode val="edge"/>
          <c:yMode val="edge"/>
          <c:x val="4.0779978260293254E-2"/>
          <c:y val="5.88235294117647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Portfolio</c:v>
          </c:tx>
          <c:spPr>
            <a:solidFill>
              <a:schemeClr val="accent1"/>
            </a:solidFill>
            <a:ln>
              <a:noFill/>
            </a:ln>
            <a:effectLst/>
          </c:spPr>
          <c:invertIfNegative val="0"/>
          <c:cat>
            <c:strRef>
              <c:f>Buy!$A$11:$A$16</c:f>
              <c:strCache>
                <c:ptCount val="6"/>
                <c:pt idx="0">
                  <c:v>TESLA, INC. (XNAS:TSLA)</c:v>
                </c:pt>
                <c:pt idx="1">
                  <c:v>NEXTERA ENERGY, INC. (XNYS:NEE)</c:v>
                </c:pt>
                <c:pt idx="2">
                  <c:v>FACEBOOK, INC. (XNAS:FB)</c:v>
                </c:pt>
                <c:pt idx="3">
                  <c:v>CHEVRON CORPORATION (XNYS:CVX)</c:v>
                </c:pt>
                <c:pt idx="4">
                  <c:v>ROYAL DUTCH SHELL PLC (XNYS:RDS.B)</c:v>
                </c:pt>
                <c:pt idx="5">
                  <c:v>RAYTHEON TECHNOLOGIES CORPORATION (XNYS:RTX)</c:v>
                </c:pt>
              </c:strCache>
            </c:strRef>
          </c:cat>
          <c:val>
            <c:numRef>
              <c:f>Buy!$F$11:$F$16</c:f>
              <c:numCache>
                <c:formatCode>_([$$-409]* #,##0.00_);_([$$-409]* \(#,##0.00\);_([$$-409]* "-"??_);_(@_)</c:formatCode>
                <c:ptCount val="6"/>
                <c:pt idx="0">
                  <c:v>-63.11</c:v>
                </c:pt>
                <c:pt idx="1">
                  <c:v>2.41</c:v>
                </c:pt>
                <c:pt idx="2">
                  <c:v>-3.38</c:v>
                </c:pt>
                <c:pt idx="3">
                  <c:v>-1.93</c:v>
                </c:pt>
                <c:pt idx="4">
                  <c:v>-0.35</c:v>
                </c:pt>
                <c:pt idx="5">
                  <c:v>-0.09</c:v>
                </c:pt>
              </c:numCache>
            </c:numRef>
          </c:val>
          <c:extLst>
            <c:ext xmlns:c16="http://schemas.microsoft.com/office/drawing/2014/chart" uri="{C3380CC4-5D6E-409C-BE32-E72D297353CC}">
              <c16:uniqueId val="{00000000-CA5B-4950-8DA6-6CF407A4F6FD}"/>
            </c:ext>
          </c:extLst>
        </c:ser>
        <c:ser>
          <c:idx val="1"/>
          <c:order val="1"/>
          <c:tx>
            <c:v>Nasdaq Index</c:v>
          </c:tx>
          <c:spPr>
            <a:solidFill>
              <a:schemeClr val="accent2"/>
            </a:solidFill>
            <a:ln>
              <a:noFill/>
            </a:ln>
            <a:effectLst/>
          </c:spPr>
          <c:invertIfNegative val="0"/>
          <c:cat>
            <c:strRef>
              <c:f>Buy!$A$11:$A$16</c:f>
              <c:strCache>
                <c:ptCount val="6"/>
                <c:pt idx="0">
                  <c:v>TESLA, INC. (XNAS:TSLA)</c:v>
                </c:pt>
                <c:pt idx="1">
                  <c:v>NEXTERA ENERGY, INC. (XNYS:NEE)</c:v>
                </c:pt>
                <c:pt idx="2">
                  <c:v>FACEBOOK, INC. (XNAS:FB)</c:v>
                </c:pt>
                <c:pt idx="3">
                  <c:v>CHEVRON CORPORATION (XNYS:CVX)</c:v>
                </c:pt>
                <c:pt idx="4">
                  <c:v>ROYAL DUTCH SHELL PLC (XNYS:RDS.B)</c:v>
                </c:pt>
                <c:pt idx="5">
                  <c:v>RAYTHEON TECHNOLOGIES CORPORATION (XNYS:RTX)</c:v>
                </c:pt>
              </c:strCache>
            </c:strRef>
          </c:cat>
          <c:val>
            <c:numRef>
              <c:f>Buy!$F$8</c:f>
              <c:numCache>
                <c:formatCode>_("$"* #,##0.00_);_("$"* \(#,##0.00\);_("$"* "-"??_);_(@_)</c:formatCode>
                <c:ptCount val="1"/>
                <c:pt idx="0">
                  <c:v>-134.17500000000001</c:v>
                </c:pt>
              </c:numCache>
            </c:numRef>
          </c:val>
          <c:extLst>
            <c:ext xmlns:c16="http://schemas.microsoft.com/office/drawing/2014/chart" uri="{C3380CC4-5D6E-409C-BE32-E72D297353CC}">
              <c16:uniqueId val="{00000001-CA5B-4950-8DA6-6CF407A4F6FD}"/>
            </c:ext>
          </c:extLst>
        </c:ser>
        <c:dLbls>
          <c:showLegendKey val="0"/>
          <c:showVal val="0"/>
          <c:showCatName val="0"/>
          <c:showSerName val="0"/>
          <c:showPercent val="0"/>
          <c:showBubbleSize val="0"/>
        </c:dLbls>
        <c:gapWidth val="219"/>
        <c:axId val="567871464"/>
        <c:axId val="567869496"/>
      </c:barChart>
      <c:catAx>
        <c:axId val="567871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69496"/>
        <c:crosses val="autoZero"/>
        <c:auto val="1"/>
        <c:lblAlgn val="ctr"/>
        <c:lblOffset val="100"/>
        <c:noMultiLvlLbl val="0"/>
      </c:catAx>
      <c:valAx>
        <c:axId val="56786949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871464"/>
        <c:crosses val="autoZero"/>
        <c:crossBetween val="between"/>
      </c:valAx>
      <c:spPr>
        <a:noFill/>
        <a:ln>
          <a:noFill/>
        </a:ln>
        <a:effectLst/>
      </c:spPr>
    </c:plotArea>
    <c:legend>
      <c:legendPos val="t"/>
      <c:layout>
        <c:manualLayout>
          <c:xMode val="edge"/>
          <c:yMode val="edge"/>
          <c:x val="0.67188578700389723"/>
          <c:y val="0.20320261437908499"/>
          <c:w val="0.27270942142333221"/>
          <c:h val="0.110294889609387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18" Type="http://schemas.openxmlformats.org/officeDocument/2006/relationships/image" Target="../media/image9.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5.png"/><Relationship Id="rId17" Type="http://schemas.openxmlformats.org/officeDocument/2006/relationships/chart" Target="../charts/chart9.xml"/><Relationship Id="rId2" Type="http://schemas.openxmlformats.org/officeDocument/2006/relationships/chart" Target="../charts/chart2.xml"/><Relationship Id="rId16"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svg"/><Relationship Id="rId5" Type="http://schemas.openxmlformats.org/officeDocument/2006/relationships/chart" Target="../charts/chart5.xml"/><Relationship Id="rId15" Type="http://schemas.openxmlformats.org/officeDocument/2006/relationships/image" Target="../media/image8.svg"/><Relationship Id="rId10" Type="http://schemas.openxmlformats.org/officeDocument/2006/relationships/image" Target="../media/image3.png"/><Relationship Id="rId19" Type="http://schemas.openxmlformats.org/officeDocument/2006/relationships/image" Target="../media/image10.svg"/><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9.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3.png"/><Relationship Id="rId7" Type="http://schemas.openxmlformats.org/officeDocument/2006/relationships/image" Target="../media/image11.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4.svg"/></Relationships>
</file>

<file path=xl/drawings/_rels/drawing1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3.png"/><Relationship Id="rId7" Type="http://schemas.openxmlformats.org/officeDocument/2006/relationships/image" Target="../media/image11.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38</xdr:col>
      <xdr:colOff>142447</xdr:colOff>
      <xdr:row>3</xdr:row>
      <xdr:rowOff>187396</xdr:rowOff>
    </xdr:to>
    <xdr:sp macro="" textlink="">
      <xdr:nvSpPr>
        <xdr:cNvPr id="2" name="Rectangle 1">
          <a:extLst>
            <a:ext uri="{FF2B5EF4-FFF2-40B4-BE49-F238E27FC236}">
              <a16:creationId xmlns:a16="http://schemas.microsoft.com/office/drawing/2014/main" id="{B59E6A83-C4BF-4A91-B383-4215816914B8}"/>
            </a:ext>
          </a:extLst>
        </xdr:cNvPr>
        <xdr:cNvSpPr/>
      </xdr:nvSpPr>
      <xdr:spPr>
        <a:xfrm>
          <a:off x="0" y="0"/>
          <a:ext cx="24012097" cy="758896"/>
        </a:xfrm>
        <a:prstGeom prst="rect">
          <a:avLst/>
        </a:prstGeom>
        <a:solidFill>
          <a:schemeClr val="accent6">
            <a:lumMod val="40000"/>
            <a:lumOff val="6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428625</xdr:colOff>
      <xdr:row>0</xdr:row>
      <xdr:rowOff>123825</xdr:rowOff>
    </xdr:from>
    <xdr:to>
      <xdr:col>10</xdr:col>
      <xdr:colOff>194781</xdr:colOff>
      <xdr:row>3</xdr:row>
      <xdr:rowOff>63571</xdr:rowOff>
    </xdr:to>
    <xdr:sp macro="" textlink="">
      <xdr:nvSpPr>
        <xdr:cNvPr id="3" name="TextBox 2">
          <a:extLst>
            <a:ext uri="{FF2B5EF4-FFF2-40B4-BE49-F238E27FC236}">
              <a16:creationId xmlns:a16="http://schemas.microsoft.com/office/drawing/2014/main" id="{2D71E01F-3062-4E1E-ADB6-AC33FA7CA657}"/>
            </a:ext>
          </a:extLst>
        </xdr:cNvPr>
        <xdr:cNvSpPr txBox="1"/>
      </xdr:nvSpPr>
      <xdr:spPr>
        <a:xfrm>
          <a:off x="6324600" y="123825"/>
          <a:ext cx="5766906" cy="511246"/>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2800">
              <a:solidFill>
                <a:sysClr val="windowText" lastClr="000000"/>
              </a:solidFill>
              <a:latin typeface="Arial Rounded MT Bold" panose="020F0704030504030204" pitchFamily="34" charset="0"/>
            </a:rPr>
            <a:t>Wallstreet Investments Ltd</a:t>
          </a:r>
        </a:p>
      </xdr:txBody>
    </xdr:sp>
    <xdr:clientData/>
  </xdr:twoCellAnchor>
  <xdr:twoCellAnchor>
    <xdr:from>
      <xdr:col>0</xdr:col>
      <xdr:colOff>47619</xdr:colOff>
      <xdr:row>13</xdr:row>
      <xdr:rowOff>190495</xdr:rowOff>
    </xdr:from>
    <xdr:to>
      <xdr:col>3</xdr:col>
      <xdr:colOff>323850</xdr:colOff>
      <xdr:row>23</xdr:row>
      <xdr:rowOff>76200</xdr:rowOff>
    </xdr:to>
    <xdr:graphicFrame macro="">
      <xdr:nvGraphicFramePr>
        <xdr:cNvPr id="4" name="Chart 3">
          <a:extLst>
            <a:ext uri="{FF2B5EF4-FFF2-40B4-BE49-F238E27FC236}">
              <a16:creationId xmlns:a16="http://schemas.microsoft.com/office/drawing/2014/main" id="{D93ED327-39D6-4C53-9242-7451D91BB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xdr:colOff>
      <xdr:row>23</xdr:row>
      <xdr:rowOff>133352</xdr:rowOff>
    </xdr:from>
    <xdr:to>
      <xdr:col>3</xdr:col>
      <xdr:colOff>333375</xdr:colOff>
      <xdr:row>33</xdr:row>
      <xdr:rowOff>19049</xdr:rowOff>
    </xdr:to>
    <xdr:graphicFrame macro="">
      <xdr:nvGraphicFramePr>
        <xdr:cNvPr id="5" name="Chart 4">
          <a:extLst>
            <a:ext uri="{FF2B5EF4-FFF2-40B4-BE49-F238E27FC236}">
              <a16:creationId xmlns:a16="http://schemas.microsoft.com/office/drawing/2014/main" id="{89A181D0-F4ED-47EC-A847-10616A77C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400050</xdr:colOff>
      <xdr:row>23</xdr:row>
      <xdr:rowOff>133351</xdr:rowOff>
    </xdr:from>
    <xdr:to>
      <xdr:col>6</xdr:col>
      <xdr:colOff>885825</xdr:colOff>
      <xdr:row>33</xdr:row>
      <xdr:rowOff>19050</xdr:rowOff>
    </xdr:to>
    <xdr:graphicFrame macro="">
      <xdr:nvGraphicFramePr>
        <xdr:cNvPr id="6" name="Chart 5">
          <a:extLst>
            <a:ext uri="{FF2B5EF4-FFF2-40B4-BE49-F238E27FC236}">
              <a16:creationId xmlns:a16="http://schemas.microsoft.com/office/drawing/2014/main" id="{0DEF80F6-97F9-4575-8C1F-19546F7DA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400048</xdr:colOff>
      <xdr:row>13</xdr:row>
      <xdr:rowOff>190498</xdr:rowOff>
    </xdr:from>
    <xdr:to>
      <xdr:col>6</xdr:col>
      <xdr:colOff>885825</xdr:colOff>
      <xdr:row>23</xdr:row>
      <xdr:rowOff>66675</xdr:rowOff>
    </xdr:to>
    <xdr:graphicFrame macro="">
      <xdr:nvGraphicFramePr>
        <xdr:cNvPr id="7" name="Chart 6">
          <a:extLst>
            <a:ext uri="{FF2B5EF4-FFF2-40B4-BE49-F238E27FC236}">
              <a16:creationId xmlns:a16="http://schemas.microsoft.com/office/drawing/2014/main" id="{495B675D-130E-442A-9D16-F9ACA7C129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38100</xdr:colOff>
      <xdr:row>14</xdr:row>
      <xdr:rowOff>0</xdr:rowOff>
    </xdr:from>
    <xdr:to>
      <xdr:col>10</xdr:col>
      <xdr:colOff>228600</xdr:colOff>
      <xdr:row>23</xdr:row>
      <xdr:rowOff>76200</xdr:rowOff>
    </xdr:to>
    <xdr:graphicFrame macro="">
      <xdr:nvGraphicFramePr>
        <xdr:cNvPr id="8" name="Chart 7">
          <a:extLst>
            <a:ext uri="{FF2B5EF4-FFF2-40B4-BE49-F238E27FC236}">
              <a16:creationId xmlns:a16="http://schemas.microsoft.com/office/drawing/2014/main" id="{CC67E62A-D45B-493B-9E27-0607BF9AAF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23</xdr:row>
      <xdr:rowOff>133350</xdr:rowOff>
    </xdr:from>
    <xdr:to>
      <xdr:col>10</xdr:col>
      <xdr:colOff>228600</xdr:colOff>
      <xdr:row>33</xdr:row>
      <xdr:rowOff>9525</xdr:rowOff>
    </xdr:to>
    <xdr:graphicFrame macro="">
      <xdr:nvGraphicFramePr>
        <xdr:cNvPr id="9" name="Chart 8">
          <a:extLst>
            <a:ext uri="{FF2B5EF4-FFF2-40B4-BE49-F238E27FC236}">
              <a16:creationId xmlns:a16="http://schemas.microsoft.com/office/drawing/2014/main" id="{689E6FBE-186B-45F7-9E08-415951E3A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295276</xdr:colOff>
      <xdr:row>4</xdr:row>
      <xdr:rowOff>57148</xdr:rowOff>
    </xdr:from>
    <xdr:to>
      <xdr:col>15</xdr:col>
      <xdr:colOff>409575</xdr:colOff>
      <xdr:row>9</xdr:row>
      <xdr:rowOff>38099</xdr:rowOff>
    </xdr:to>
    <xdr:sp macro="" textlink="">
      <xdr:nvSpPr>
        <xdr:cNvPr id="20" name="Rectangle 19">
          <a:extLst>
            <a:ext uri="{FF2B5EF4-FFF2-40B4-BE49-F238E27FC236}">
              <a16:creationId xmlns:a16="http://schemas.microsoft.com/office/drawing/2014/main" id="{337876D7-BD23-4850-8E70-2838EC1EECDB}"/>
            </a:ext>
          </a:extLst>
        </xdr:cNvPr>
        <xdr:cNvSpPr/>
      </xdr:nvSpPr>
      <xdr:spPr>
        <a:xfrm>
          <a:off x="11877676" y="819148"/>
          <a:ext cx="3981449" cy="1085851"/>
        </a:xfrm>
        <a:prstGeom prst="rect">
          <a:avLst/>
        </a:prstGeom>
        <a:noFill/>
        <a:ln>
          <a:solidFill>
            <a:schemeClr val="accent6"/>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352423</xdr:colOff>
      <xdr:row>4</xdr:row>
      <xdr:rowOff>95248</xdr:rowOff>
    </xdr:from>
    <xdr:to>
      <xdr:col>12</xdr:col>
      <xdr:colOff>9524</xdr:colOff>
      <xdr:row>5</xdr:row>
      <xdr:rowOff>228599</xdr:rowOff>
    </xdr:to>
    <xdr:sp macro="" textlink="">
      <xdr:nvSpPr>
        <xdr:cNvPr id="21" name="TextBox 20">
          <a:extLst>
            <a:ext uri="{FF2B5EF4-FFF2-40B4-BE49-F238E27FC236}">
              <a16:creationId xmlns:a16="http://schemas.microsoft.com/office/drawing/2014/main" id="{BCC1A48E-770D-4366-A682-BC812C6EBAE6}"/>
            </a:ext>
          </a:extLst>
        </xdr:cNvPr>
        <xdr:cNvSpPr txBox="1"/>
      </xdr:nvSpPr>
      <xdr:spPr>
        <a:xfrm>
          <a:off x="11934823" y="857248"/>
          <a:ext cx="876301" cy="323851"/>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400" b="0">
              <a:solidFill>
                <a:sysClr val="windowText" lastClr="000000"/>
              </a:solidFill>
              <a:latin typeface="+mn-lt"/>
            </a:rPr>
            <a:t>Investing</a:t>
          </a:r>
        </a:p>
      </xdr:txBody>
    </xdr:sp>
    <xdr:clientData/>
  </xdr:twoCellAnchor>
  <xdr:twoCellAnchor>
    <xdr:from>
      <xdr:col>10</xdr:col>
      <xdr:colOff>295275</xdr:colOff>
      <xdr:row>25</xdr:row>
      <xdr:rowOff>47625</xdr:rowOff>
    </xdr:from>
    <xdr:to>
      <xdr:col>15</xdr:col>
      <xdr:colOff>409574</xdr:colOff>
      <xdr:row>33</xdr:row>
      <xdr:rowOff>9525</xdr:rowOff>
    </xdr:to>
    <xdr:sp macro="" textlink="">
      <xdr:nvSpPr>
        <xdr:cNvPr id="22" name="Rectangle 21">
          <a:extLst>
            <a:ext uri="{FF2B5EF4-FFF2-40B4-BE49-F238E27FC236}">
              <a16:creationId xmlns:a16="http://schemas.microsoft.com/office/drawing/2014/main" id="{4901A349-9769-40BD-BD1B-996E710F3137}"/>
            </a:ext>
          </a:extLst>
        </xdr:cNvPr>
        <xdr:cNvSpPr/>
      </xdr:nvSpPr>
      <xdr:spPr>
        <a:xfrm>
          <a:off x="11877675" y="4962525"/>
          <a:ext cx="3981449" cy="1485900"/>
        </a:xfrm>
        <a:prstGeom prst="rect">
          <a:avLst/>
        </a:prstGeom>
        <a:noFill/>
        <a:ln>
          <a:solidFill>
            <a:schemeClr val="accent6"/>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304800</xdr:colOff>
      <xdr:row>25</xdr:row>
      <xdr:rowOff>57150</xdr:rowOff>
    </xdr:from>
    <xdr:to>
      <xdr:col>11</xdr:col>
      <xdr:colOff>419100</xdr:colOff>
      <xdr:row>26</xdr:row>
      <xdr:rowOff>123825</xdr:rowOff>
    </xdr:to>
    <xdr:sp macro="" textlink="">
      <xdr:nvSpPr>
        <xdr:cNvPr id="23" name="TextBox 22">
          <a:extLst>
            <a:ext uri="{FF2B5EF4-FFF2-40B4-BE49-F238E27FC236}">
              <a16:creationId xmlns:a16="http://schemas.microsoft.com/office/drawing/2014/main" id="{AF030502-8747-4308-95BA-366A09C4E7BE}"/>
            </a:ext>
          </a:extLst>
        </xdr:cNvPr>
        <xdr:cNvSpPr txBox="1"/>
      </xdr:nvSpPr>
      <xdr:spPr>
        <a:xfrm>
          <a:off x="11887200" y="4972050"/>
          <a:ext cx="723900" cy="2571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400" b="0">
              <a:solidFill>
                <a:sysClr val="windowText" lastClr="000000"/>
              </a:solidFill>
              <a:latin typeface="+mn-lt"/>
            </a:rPr>
            <a:t>Trade</a:t>
          </a:r>
        </a:p>
      </xdr:txBody>
    </xdr:sp>
    <xdr:clientData/>
  </xdr:twoCellAnchor>
  <xdr:twoCellAnchor>
    <xdr:from>
      <xdr:col>12</xdr:col>
      <xdr:colOff>400051</xdr:colOff>
      <xdr:row>26</xdr:row>
      <xdr:rowOff>152400</xdr:rowOff>
    </xdr:from>
    <xdr:to>
      <xdr:col>13</xdr:col>
      <xdr:colOff>1104901</xdr:colOff>
      <xdr:row>28</xdr:row>
      <xdr:rowOff>175731</xdr:rowOff>
    </xdr:to>
    <xdr:sp macro="[0]!Module1.showform" textlink="">
      <xdr:nvSpPr>
        <xdr:cNvPr id="17" name="Flowchart: Terminator 16">
          <a:extLst>
            <a:ext uri="{FF2B5EF4-FFF2-40B4-BE49-F238E27FC236}">
              <a16:creationId xmlns:a16="http://schemas.microsoft.com/office/drawing/2014/main" id="{696BEBB3-3D0C-4640-8FC5-F4A8C139F9D2}"/>
            </a:ext>
          </a:extLst>
        </xdr:cNvPr>
        <xdr:cNvSpPr/>
      </xdr:nvSpPr>
      <xdr:spPr>
        <a:xfrm>
          <a:off x="13201651" y="5257800"/>
          <a:ext cx="1314450" cy="404331"/>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438150</xdr:colOff>
      <xdr:row>27</xdr:row>
      <xdr:rowOff>28574</xdr:rowOff>
    </xdr:from>
    <xdr:to>
      <xdr:col>13</xdr:col>
      <xdr:colOff>1095375</xdr:colOff>
      <xdr:row>28</xdr:row>
      <xdr:rowOff>152399</xdr:rowOff>
    </xdr:to>
    <xdr:sp macro="[0]!Module1.showform" textlink="">
      <xdr:nvSpPr>
        <xdr:cNvPr id="18" name="TextBox 17">
          <a:extLst>
            <a:ext uri="{FF2B5EF4-FFF2-40B4-BE49-F238E27FC236}">
              <a16:creationId xmlns:a16="http://schemas.microsoft.com/office/drawing/2014/main" id="{27A07290-2FCB-4791-80B5-DEE6AF702446}"/>
            </a:ext>
          </a:extLst>
        </xdr:cNvPr>
        <xdr:cNvSpPr txBox="1"/>
      </xdr:nvSpPr>
      <xdr:spPr>
        <a:xfrm>
          <a:off x="13239750" y="5324474"/>
          <a:ext cx="1266825" cy="31432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Buy</a:t>
          </a:r>
        </a:p>
      </xdr:txBody>
    </xdr:sp>
    <xdr:clientData/>
  </xdr:twoCellAnchor>
  <xdr:twoCellAnchor>
    <xdr:from>
      <xdr:col>12</xdr:col>
      <xdr:colOff>409575</xdr:colOff>
      <xdr:row>29</xdr:row>
      <xdr:rowOff>85725</xdr:rowOff>
    </xdr:from>
    <xdr:to>
      <xdr:col>13</xdr:col>
      <xdr:colOff>1123950</xdr:colOff>
      <xdr:row>31</xdr:row>
      <xdr:rowOff>109056</xdr:rowOff>
    </xdr:to>
    <xdr:sp macro="" textlink="">
      <xdr:nvSpPr>
        <xdr:cNvPr id="19" name="Flowchart: Terminator 18">
          <a:extLst>
            <a:ext uri="{FF2B5EF4-FFF2-40B4-BE49-F238E27FC236}">
              <a16:creationId xmlns:a16="http://schemas.microsoft.com/office/drawing/2014/main" id="{98800383-EC81-4749-A753-7116AB00949C}"/>
            </a:ext>
          </a:extLst>
        </xdr:cNvPr>
        <xdr:cNvSpPr/>
      </xdr:nvSpPr>
      <xdr:spPr>
        <a:xfrm>
          <a:off x="13211175" y="5762625"/>
          <a:ext cx="1323975" cy="404331"/>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428625</xdr:colOff>
      <xdr:row>29</xdr:row>
      <xdr:rowOff>142875</xdr:rowOff>
    </xdr:from>
    <xdr:to>
      <xdr:col>13</xdr:col>
      <xdr:colOff>1066800</xdr:colOff>
      <xdr:row>31</xdr:row>
      <xdr:rowOff>95250</xdr:rowOff>
    </xdr:to>
    <xdr:sp macro="[0]!Module2.showform" textlink="">
      <xdr:nvSpPr>
        <xdr:cNvPr id="25" name="TextBox 24">
          <a:extLst>
            <a:ext uri="{FF2B5EF4-FFF2-40B4-BE49-F238E27FC236}">
              <a16:creationId xmlns:a16="http://schemas.microsoft.com/office/drawing/2014/main" id="{408AD1D1-01E8-4967-B8C5-E2CBDDA96E2C}"/>
            </a:ext>
          </a:extLst>
        </xdr:cNvPr>
        <xdr:cNvSpPr txBox="1"/>
      </xdr:nvSpPr>
      <xdr:spPr>
        <a:xfrm>
          <a:off x="13230225" y="5819775"/>
          <a:ext cx="1247775" cy="3333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Sell</a:t>
          </a:r>
        </a:p>
      </xdr:txBody>
    </xdr:sp>
    <xdr:clientData/>
  </xdr:twoCellAnchor>
  <xdr:twoCellAnchor>
    <xdr:from>
      <xdr:col>10</xdr:col>
      <xdr:colOff>295275</xdr:colOff>
      <xdr:row>9</xdr:row>
      <xdr:rowOff>114300</xdr:rowOff>
    </xdr:from>
    <xdr:to>
      <xdr:col>15</xdr:col>
      <xdr:colOff>409575</xdr:colOff>
      <xdr:row>19</xdr:row>
      <xdr:rowOff>161925</xdr:rowOff>
    </xdr:to>
    <xdr:graphicFrame macro="">
      <xdr:nvGraphicFramePr>
        <xdr:cNvPr id="26" name="Chart 25">
          <a:extLst>
            <a:ext uri="{FF2B5EF4-FFF2-40B4-BE49-F238E27FC236}">
              <a16:creationId xmlns:a16="http://schemas.microsoft.com/office/drawing/2014/main" id="{0D278B06-8856-4214-B134-9115CBA0B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495300</xdr:colOff>
      <xdr:row>20</xdr:row>
      <xdr:rowOff>9525</xdr:rowOff>
    </xdr:from>
    <xdr:to>
      <xdr:col>15</xdr:col>
      <xdr:colOff>419100</xdr:colOff>
      <xdr:row>25</xdr:row>
      <xdr:rowOff>0</xdr:rowOff>
    </xdr:to>
    <mc:AlternateContent xmlns:mc="http://schemas.openxmlformats.org/markup-compatibility/2006" xmlns:a14="http://schemas.microsoft.com/office/drawing/2010/main">
      <mc:Choice Requires="a14">
        <xdr:graphicFrame macro="">
          <xdr:nvGraphicFramePr>
            <xdr:cNvPr id="14" name="Preference 1">
              <a:extLst>
                <a:ext uri="{FF2B5EF4-FFF2-40B4-BE49-F238E27FC236}">
                  <a16:creationId xmlns:a16="http://schemas.microsoft.com/office/drawing/2014/main" id="{EA30FAB9-7F16-411A-9A8F-4859EFF5031A}"/>
                </a:ext>
              </a:extLst>
            </xdr:cNvPr>
            <xdr:cNvGraphicFramePr/>
          </xdr:nvGraphicFramePr>
          <xdr:xfrm>
            <a:off x="0" y="0"/>
            <a:ext cx="0" cy="0"/>
          </xdr:xfrm>
          <a:graphic>
            <a:graphicData uri="http://schemas.microsoft.com/office/drawing/2010/slicer">
              <sle:slicer xmlns:sle="http://schemas.microsoft.com/office/drawing/2010/slicer" name="Preference 1"/>
            </a:graphicData>
          </a:graphic>
        </xdr:graphicFrame>
      </mc:Choice>
      <mc:Fallback xmlns="">
        <xdr:sp macro="" textlink="">
          <xdr:nvSpPr>
            <xdr:cNvPr id="0" name=""/>
            <xdr:cNvSpPr>
              <a:spLocks noTextEdit="1"/>
            </xdr:cNvSpPr>
          </xdr:nvSpPr>
          <xdr:spPr>
            <a:xfrm>
              <a:off x="13906500" y="3971925"/>
              <a:ext cx="196215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304799</xdr:colOff>
      <xdr:row>20</xdr:row>
      <xdr:rowOff>28574</xdr:rowOff>
    </xdr:from>
    <xdr:to>
      <xdr:col>13</xdr:col>
      <xdr:colOff>428624</xdr:colOff>
      <xdr:row>24</xdr:row>
      <xdr:rowOff>180975</xdr:rowOff>
    </xdr:to>
    <mc:AlternateContent xmlns:mc="http://schemas.openxmlformats.org/markup-compatibility/2006" xmlns:a14="http://schemas.microsoft.com/office/drawing/2010/main">
      <mc:Choice Requires="a14">
        <xdr:graphicFrame macro="">
          <xdr:nvGraphicFramePr>
            <xdr:cNvPr id="16" name="Allocation 1">
              <a:extLst>
                <a:ext uri="{FF2B5EF4-FFF2-40B4-BE49-F238E27FC236}">
                  <a16:creationId xmlns:a16="http://schemas.microsoft.com/office/drawing/2014/main" id="{7BD1A35E-1C8B-46A5-8B47-4F8CE130CADA}"/>
                </a:ext>
              </a:extLst>
            </xdr:cNvPr>
            <xdr:cNvGraphicFramePr/>
          </xdr:nvGraphicFramePr>
          <xdr:xfrm>
            <a:off x="0" y="0"/>
            <a:ext cx="0" cy="0"/>
          </xdr:xfrm>
          <a:graphic>
            <a:graphicData uri="http://schemas.microsoft.com/office/drawing/2010/slicer">
              <sle:slicer xmlns:sle="http://schemas.microsoft.com/office/drawing/2010/slicer" name="Allocation 1"/>
            </a:graphicData>
          </a:graphic>
        </xdr:graphicFrame>
      </mc:Choice>
      <mc:Fallback xmlns="">
        <xdr:sp macro="" textlink="">
          <xdr:nvSpPr>
            <xdr:cNvPr id="0" name=""/>
            <xdr:cNvSpPr>
              <a:spLocks noTextEdit="1"/>
            </xdr:cNvSpPr>
          </xdr:nvSpPr>
          <xdr:spPr>
            <a:xfrm>
              <a:off x="11887199" y="3990974"/>
              <a:ext cx="1952625"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352425</xdr:colOff>
      <xdr:row>7</xdr:row>
      <xdr:rowOff>161925</xdr:rowOff>
    </xdr:from>
    <xdr:to>
      <xdr:col>11</xdr:col>
      <xdr:colOff>542925</xdr:colOff>
      <xdr:row>9</xdr:row>
      <xdr:rowOff>9525</xdr:rowOff>
    </xdr:to>
    <xdr:sp macro="" textlink="">
      <xdr:nvSpPr>
        <xdr:cNvPr id="28" name="TextBox 27">
          <a:extLst>
            <a:ext uri="{FF2B5EF4-FFF2-40B4-BE49-F238E27FC236}">
              <a16:creationId xmlns:a16="http://schemas.microsoft.com/office/drawing/2014/main" id="{013827A2-B6E3-4F67-8F56-CC0473C362C6}"/>
            </a:ext>
          </a:extLst>
        </xdr:cNvPr>
        <xdr:cNvSpPr txBox="1"/>
      </xdr:nvSpPr>
      <xdr:spPr>
        <a:xfrm>
          <a:off x="11934825" y="1571625"/>
          <a:ext cx="800100" cy="304800"/>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400" b="0">
              <a:solidFill>
                <a:sysClr val="windowText" lastClr="000000"/>
              </a:solidFill>
              <a:latin typeface="+mn-lt"/>
            </a:rPr>
            <a:t>Return</a:t>
          </a:r>
        </a:p>
      </xdr:txBody>
    </xdr:sp>
    <xdr:clientData/>
  </xdr:twoCellAnchor>
  <xdr:twoCellAnchor editAs="oneCell">
    <xdr:from>
      <xdr:col>13</xdr:col>
      <xdr:colOff>1066800</xdr:colOff>
      <xdr:row>1</xdr:row>
      <xdr:rowOff>9525</xdr:rowOff>
    </xdr:from>
    <xdr:to>
      <xdr:col>13</xdr:col>
      <xdr:colOff>1390650</xdr:colOff>
      <xdr:row>2</xdr:row>
      <xdr:rowOff>142875</xdr:rowOff>
    </xdr:to>
    <xdr:pic macro="[0]!Graphic14_Click">
      <xdr:nvPicPr>
        <xdr:cNvPr id="31" name="Graphic 30" descr="Wallet">
          <a:extLst>
            <a:ext uri="{FF2B5EF4-FFF2-40B4-BE49-F238E27FC236}">
              <a16:creationId xmlns:a16="http://schemas.microsoft.com/office/drawing/2014/main" id="{644A2419-FD61-4BE8-84A1-E18DD2002A2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4478000" y="200025"/>
          <a:ext cx="323850" cy="323850"/>
        </a:xfrm>
        <a:prstGeom prst="rect">
          <a:avLst/>
        </a:prstGeom>
      </xdr:spPr>
    </xdr:pic>
    <xdr:clientData/>
  </xdr:twoCellAnchor>
  <xdr:twoCellAnchor editAs="oneCell">
    <xdr:from>
      <xdr:col>14</xdr:col>
      <xdr:colOff>266700</xdr:colOff>
      <xdr:row>1</xdr:row>
      <xdr:rowOff>38099</xdr:rowOff>
    </xdr:from>
    <xdr:to>
      <xdr:col>14</xdr:col>
      <xdr:colOff>561975</xdr:colOff>
      <xdr:row>2</xdr:row>
      <xdr:rowOff>142874</xdr:rowOff>
    </xdr:to>
    <xdr:pic macro="[0]!Graphic45_Click">
      <xdr:nvPicPr>
        <xdr:cNvPr id="33" name="Graphic 32" descr="Coins">
          <a:extLst>
            <a:ext uri="{FF2B5EF4-FFF2-40B4-BE49-F238E27FC236}">
              <a16:creationId xmlns:a16="http://schemas.microsoft.com/office/drawing/2014/main" id="{CBA4F23E-98EE-4BB3-8B98-54666DC71FE8}"/>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5106650" y="228599"/>
          <a:ext cx="295275" cy="295275"/>
        </a:xfrm>
        <a:prstGeom prst="rect">
          <a:avLst/>
        </a:prstGeom>
      </xdr:spPr>
    </xdr:pic>
    <xdr:clientData/>
  </xdr:twoCellAnchor>
  <xdr:twoCellAnchor editAs="oneCell">
    <xdr:from>
      <xdr:col>16</xdr:col>
      <xdr:colOff>114299</xdr:colOff>
      <xdr:row>1</xdr:row>
      <xdr:rowOff>57149</xdr:rowOff>
    </xdr:from>
    <xdr:to>
      <xdr:col>16</xdr:col>
      <xdr:colOff>400050</xdr:colOff>
      <xdr:row>2</xdr:row>
      <xdr:rowOff>152400</xdr:rowOff>
    </xdr:to>
    <xdr:pic macro="[0]!Graphic92_Click">
      <xdr:nvPicPr>
        <xdr:cNvPr id="35" name="Graphic 34" descr="Bar chart">
          <a:extLst>
            <a:ext uri="{FF2B5EF4-FFF2-40B4-BE49-F238E27FC236}">
              <a16:creationId xmlns:a16="http://schemas.microsoft.com/office/drawing/2014/main" id="{C8605353-A52F-4213-88F0-B2CC8C72610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173449" y="247649"/>
          <a:ext cx="285751" cy="285751"/>
        </a:xfrm>
        <a:prstGeom prst="rect">
          <a:avLst/>
        </a:prstGeom>
      </xdr:spPr>
    </xdr:pic>
    <xdr:clientData/>
  </xdr:twoCellAnchor>
  <xdr:twoCellAnchor editAs="oneCell">
    <xdr:from>
      <xdr:col>15</xdr:col>
      <xdr:colOff>209550</xdr:colOff>
      <xdr:row>1</xdr:row>
      <xdr:rowOff>47624</xdr:rowOff>
    </xdr:from>
    <xdr:to>
      <xdr:col>15</xdr:col>
      <xdr:colOff>498189</xdr:colOff>
      <xdr:row>2</xdr:row>
      <xdr:rowOff>145763</xdr:rowOff>
    </xdr:to>
    <xdr:pic macro="[0]!Graphic11_Click">
      <xdr:nvPicPr>
        <xdr:cNvPr id="36" name="Graphic 35" descr="Pie chart">
          <a:extLst>
            <a:ext uri="{FF2B5EF4-FFF2-40B4-BE49-F238E27FC236}">
              <a16:creationId xmlns:a16="http://schemas.microsoft.com/office/drawing/2014/main" id="{0756ED81-4E6E-4037-AEEA-19FE552697F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659100" y="238124"/>
          <a:ext cx="288639" cy="288639"/>
        </a:xfrm>
        <a:prstGeom prst="rect">
          <a:avLst/>
        </a:prstGeom>
      </xdr:spPr>
    </xdr:pic>
    <xdr:clientData/>
  </xdr:twoCellAnchor>
  <xdr:twoCellAnchor>
    <xdr:from>
      <xdr:col>0</xdr:col>
      <xdr:colOff>38100</xdr:colOff>
      <xdr:row>4</xdr:row>
      <xdr:rowOff>57150</xdr:rowOff>
    </xdr:from>
    <xdr:to>
      <xdr:col>5</xdr:col>
      <xdr:colOff>180975</xdr:colOff>
      <xdr:row>13</xdr:row>
      <xdr:rowOff>133350</xdr:rowOff>
    </xdr:to>
    <xdr:graphicFrame macro="">
      <xdr:nvGraphicFramePr>
        <xdr:cNvPr id="27" name="Chart 26">
          <a:extLst>
            <a:ext uri="{FF2B5EF4-FFF2-40B4-BE49-F238E27FC236}">
              <a16:creationId xmlns:a16="http://schemas.microsoft.com/office/drawing/2014/main" id="{0E5F609F-A6E5-47C2-BC29-15A438F083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247650</xdr:colOff>
      <xdr:row>4</xdr:row>
      <xdr:rowOff>57150</xdr:rowOff>
    </xdr:from>
    <xdr:to>
      <xdr:col>10</xdr:col>
      <xdr:colOff>219075</xdr:colOff>
      <xdr:row>13</xdr:row>
      <xdr:rowOff>133350</xdr:rowOff>
    </xdr:to>
    <xdr:graphicFrame macro="">
      <xdr:nvGraphicFramePr>
        <xdr:cNvPr id="29" name="Chart 28">
          <a:extLst>
            <a:ext uri="{FF2B5EF4-FFF2-40B4-BE49-F238E27FC236}">
              <a16:creationId xmlns:a16="http://schemas.microsoft.com/office/drawing/2014/main" id="{6F45F889-CE8A-43CE-85DF-F1CE151AA4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542925</xdr:colOff>
      <xdr:row>34</xdr:row>
      <xdr:rowOff>104774</xdr:rowOff>
    </xdr:from>
    <xdr:to>
      <xdr:col>6</xdr:col>
      <xdr:colOff>0</xdr:colOff>
      <xdr:row>36</xdr:row>
      <xdr:rowOff>95249</xdr:rowOff>
    </xdr:to>
    <xdr:sp macro="" textlink="">
      <xdr:nvSpPr>
        <xdr:cNvPr id="37" name="TextBox 36">
          <a:extLst>
            <a:ext uri="{FF2B5EF4-FFF2-40B4-BE49-F238E27FC236}">
              <a16:creationId xmlns:a16="http://schemas.microsoft.com/office/drawing/2014/main" id="{DD58E314-996B-43EB-85E1-39A601780584}"/>
            </a:ext>
          </a:extLst>
        </xdr:cNvPr>
        <xdr:cNvSpPr txBox="1"/>
      </xdr:nvSpPr>
      <xdr:spPr>
        <a:xfrm>
          <a:off x="4238625" y="6734174"/>
          <a:ext cx="2628900" cy="3714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400">
              <a:solidFill>
                <a:sysClr val="windowText" lastClr="000000"/>
              </a:solidFill>
              <a:latin typeface="Arial Rounded MT Bold" panose="020F0704030504030204" pitchFamily="34" charset="0"/>
            </a:rPr>
            <a:t>Summary</a:t>
          </a:r>
        </a:p>
      </xdr:txBody>
    </xdr:sp>
    <xdr:clientData/>
  </xdr:twoCellAnchor>
  <xdr:twoCellAnchor editAs="oneCell">
    <xdr:from>
      <xdr:col>15</xdr:col>
      <xdr:colOff>47626</xdr:colOff>
      <xdr:row>4</xdr:row>
      <xdr:rowOff>152399</xdr:rowOff>
    </xdr:from>
    <xdr:to>
      <xdr:col>15</xdr:col>
      <xdr:colOff>295276</xdr:colOff>
      <xdr:row>5</xdr:row>
      <xdr:rowOff>209549</xdr:rowOff>
    </xdr:to>
    <xdr:pic macro="[0]!refresh">
      <xdr:nvPicPr>
        <xdr:cNvPr id="11" name="Graphic 10" descr="Repeat">
          <a:extLst>
            <a:ext uri="{FF2B5EF4-FFF2-40B4-BE49-F238E27FC236}">
              <a16:creationId xmlns:a16="http://schemas.microsoft.com/office/drawing/2014/main" id="{8D257A65-B093-4769-A449-FF9A5EED4FA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497176" y="914399"/>
          <a:ext cx="247650" cy="24765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0.7514</cdr:x>
      <cdr:y>0.04787</cdr:y>
    </cdr:from>
    <cdr:to>
      <cdr:x>0.96882</cdr:x>
      <cdr:y>0.21693</cdr:y>
    </cdr:to>
    <cdr:sp macro="[0]!tesla_click" textlink="">
      <cdr:nvSpPr>
        <cdr:cNvPr id="5" name="Flowchart: Terminator 4">
          <a:extLst xmlns:a="http://schemas.openxmlformats.org/drawingml/2006/main">
            <a:ext uri="{FF2B5EF4-FFF2-40B4-BE49-F238E27FC236}">
              <a16:creationId xmlns:a16="http://schemas.microsoft.com/office/drawing/2014/main" id="{696BEBB3-3D0C-4640-8FC5-F4A8C139F9D2}"/>
            </a:ext>
          </a:extLst>
        </cdr:cNvPr>
        <cdr:cNvSpPr/>
      </cdr:nvSpPr>
      <cdr:spPr>
        <a:xfrm xmlns:a="http://schemas.openxmlformats.org/drawingml/2006/main">
          <a:off x="2984500" y="85730"/>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0.75859</cdr:x>
      <cdr:y>0.06028</cdr:y>
    </cdr:from>
    <cdr:to>
      <cdr:x>0.96403</cdr:x>
      <cdr:y>0.20213</cdr:y>
    </cdr:to>
    <cdr:sp macro="[0]!tesla_click" textlink="">
      <cdr:nvSpPr>
        <cdr:cNvPr id="6" name="TextBox 17">
          <a:extLst xmlns:a="http://schemas.openxmlformats.org/drawingml/2006/main">
            <a:ext uri="{FF2B5EF4-FFF2-40B4-BE49-F238E27FC236}">
              <a16:creationId xmlns:a16="http://schemas.microsoft.com/office/drawing/2014/main" id="{27A07290-2FCB-4791-80B5-DEE6AF702446}"/>
            </a:ext>
          </a:extLst>
        </cdr:cNvPr>
        <cdr:cNvSpPr txBox="1"/>
      </cdr:nvSpPr>
      <cdr:spPr>
        <a:xfrm xmlns:a="http://schemas.openxmlformats.org/drawingml/2006/main">
          <a:off x="3013077" y="107949"/>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3.xml><?xml version="1.0" encoding="utf-8"?>
<c:userShapes xmlns:c="http://schemas.openxmlformats.org/drawingml/2006/chart">
  <cdr:relSizeAnchor xmlns:cdr="http://schemas.openxmlformats.org/drawingml/2006/chartDrawing">
    <cdr:from>
      <cdr:x>0.7466</cdr:x>
      <cdr:y>0.04433</cdr:y>
    </cdr:from>
    <cdr:to>
      <cdr:x>0.96403</cdr:x>
      <cdr:y>0.21338</cdr:y>
    </cdr:to>
    <cdr:sp macro="[0]!nex_click" textlink="">
      <cdr:nvSpPr>
        <cdr:cNvPr id="2" name="Flowchart: Terminator 1">
          <a:extLst xmlns:a="http://schemas.openxmlformats.org/drawingml/2006/main">
            <a:ext uri="{FF2B5EF4-FFF2-40B4-BE49-F238E27FC236}">
              <a16:creationId xmlns:a16="http://schemas.microsoft.com/office/drawing/2014/main" id="{A9DEAEC6-8FAE-4136-8F59-2AF4D1B10121}"/>
            </a:ext>
          </a:extLst>
        </cdr:cNvPr>
        <cdr:cNvSpPr/>
      </cdr:nvSpPr>
      <cdr:spPr>
        <a:xfrm xmlns:a="http://schemas.openxmlformats.org/drawingml/2006/main">
          <a:off x="2965450" y="79375"/>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0.76099</cdr:x>
      <cdr:y>0.05496</cdr:y>
    </cdr:from>
    <cdr:to>
      <cdr:x>0.96643</cdr:x>
      <cdr:y>0.19681</cdr:y>
    </cdr:to>
    <cdr:sp macro="[0]!nex_click" textlink="">
      <cdr:nvSpPr>
        <cdr:cNvPr id="3" name="TextBox 17">
          <a:extLst xmlns:a="http://schemas.openxmlformats.org/drawingml/2006/main">
            <a:ext uri="{FF2B5EF4-FFF2-40B4-BE49-F238E27FC236}">
              <a16:creationId xmlns:a16="http://schemas.microsoft.com/office/drawing/2014/main" id="{70A9C41B-9890-4B7C-A25F-CCADCFB5CFAE}"/>
            </a:ext>
          </a:extLst>
        </cdr:cNvPr>
        <cdr:cNvSpPr txBox="1"/>
      </cdr:nvSpPr>
      <cdr:spPr>
        <a:xfrm xmlns:a="http://schemas.openxmlformats.org/drawingml/2006/main">
          <a:off x="3022600" y="98425"/>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4.xml><?xml version="1.0" encoding="utf-8"?>
<c:userShapes xmlns:c="http://schemas.openxmlformats.org/drawingml/2006/chart">
  <cdr:relSizeAnchor xmlns:cdr="http://schemas.openxmlformats.org/drawingml/2006/chartDrawing">
    <cdr:from>
      <cdr:x>0.72222</cdr:x>
      <cdr:y>0.05496</cdr:y>
    </cdr:from>
    <cdr:to>
      <cdr:x>0.95833</cdr:x>
      <cdr:y>0.22402</cdr:y>
    </cdr:to>
    <cdr:sp macro="[0]!facebook_click" textlink="">
      <cdr:nvSpPr>
        <cdr:cNvPr id="2" name="Flowchart: Terminator 1">
          <a:extLst xmlns:a="http://schemas.openxmlformats.org/drawingml/2006/main">
            <a:ext uri="{FF2B5EF4-FFF2-40B4-BE49-F238E27FC236}">
              <a16:creationId xmlns:a16="http://schemas.microsoft.com/office/drawing/2014/main" id="{A9DEAEC6-8FAE-4136-8F59-2AF4D1B10121}"/>
            </a:ext>
          </a:extLst>
        </cdr:cNvPr>
        <cdr:cNvSpPr/>
      </cdr:nvSpPr>
      <cdr:spPr>
        <a:xfrm xmlns:a="http://schemas.openxmlformats.org/drawingml/2006/main">
          <a:off x="2641600" y="98425"/>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0.73524</cdr:x>
      <cdr:y>0.07092</cdr:y>
    </cdr:from>
    <cdr:to>
      <cdr:x>0.95833</cdr:x>
      <cdr:y>0.21277</cdr:y>
    </cdr:to>
    <cdr:sp macro="[0]!facebook_click" textlink="">
      <cdr:nvSpPr>
        <cdr:cNvPr id="3" name="TextBox 17">
          <a:extLst xmlns:a="http://schemas.openxmlformats.org/drawingml/2006/main">
            <a:ext uri="{FF2B5EF4-FFF2-40B4-BE49-F238E27FC236}">
              <a16:creationId xmlns:a16="http://schemas.microsoft.com/office/drawing/2014/main" id="{70A9C41B-9890-4B7C-A25F-CCADCFB5CFAE}"/>
            </a:ext>
          </a:extLst>
        </cdr:cNvPr>
        <cdr:cNvSpPr txBox="1"/>
      </cdr:nvSpPr>
      <cdr:spPr>
        <a:xfrm xmlns:a="http://schemas.openxmlformats.org/drawingml/2006/main">
          <a:off x="2689225" y="127000"/>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5.xml><?xml version="1.0" encoding="utf-8"?>
<c:userShapes xmlns:c="http://schemas.openxmlformats.org/drawingml/2006/chart">
  <cdr:relSizeAnchor xmlns:cdr="http://schemas.openxmlformats.org/drawingml/2006/chartDrawing">
    <cdr:from>
      <cdr:x>0.73524</cdr:x>
      <cdr:y>0.04456</cdr:y>
    </cdr:from>
    <cdr:to>
      <cdr:x>0.97136</cdr:x>
      <cdr:y>0.21452</cdr:y>
    </cdr:to>
    <cdr:sp macro="[0]!chevron_click" textlink="">
      <cdr:nvSpPr>
        <cdr:cNvPr id="2" name="Flowchart: Terminator 1">
          <a:extLst xmlns:a="http://schemas.openxmlformats.org/drawingml/2006/main">
            <a:ext uri="{FF2B5EF4-FFF2-40B4-BE49-F238E27FC236}">
              <a16:creationId xmlns:a16="http://schemas.microsoft.com/office/drawing/2014/main" id="{A9DEAEC6-8FAE-4136-8F59-2AF4D1B10121}"/>
            </a:ext>
          </a:extLst>
        </cdr:cNvPr>
        <cdr:cNvSpPr/>
      </cdr:nvSpPr>
      <cdr:spPr>
        <a:xfrm xmlns:a="http://schemas.openxmlformats.org/drawingml/2006/main">
          <a:off x="2689225" y="79375"/>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0.74045</cdr:x>
      <cdr:y>0.06061</cdr:y>
    </cdr:from>
    <cdr:to>
      <cdr:x>0.96354</cdr:x>
      <cdr:y>0.20321</cdr:y>
    </cdr:to>
    <cdr:sp macro="[0]!chevron_click" textlink="">
      <cdr:nvSpPr>
        <cdr:cNvPr id="3" name="TextBox 17">
          <a:extLst xmlns:a="http://schemas.openxmlformats.org/drawingml/2006/main">
            <a:ext uri="{FF2B5EF4-FFF2-40B4-BE49-F238E27FC236}">
              <a16:creationId xmlns:a16="http://schemas.microsoft.com/office/drawing/2014/main" id="{70A9C41B-9890-4B7C-A25F-CCADCFB5CFAE}"/>
            </a:ext>
          </a:extLst>
        </cdr:cNvPr>
        <cdr:cNvSpPr txBox="1"/>
      </cdr:nvSpPr>
      <cdr:spPr>
        <a:xfrm xmlns:a="http://schemas.openxmlformats.org/drawingml/2006/main">
          <a:off x="2708275" y="107950"/>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6.xml><?xml version="1.0" encoding="utf-8"?>
<c:userShapes xmlns:c="http://schemas.openxmlformats.org/drawingml/2006/chart">
  <cdr:relSizeAnchor xmlns:cdr="http://schemas.openxmlformats.org/drawingml/2006/chartDrawing">
    <cdr:from>
      <cdr:x>0.73764</cdr:x>
      <cdr:y>0.05496</cdr:y>
    </cdr:from>
    <cdr:to>
      <cdr:x>0.95455</cdr:x>
      <cdr:y>0.22402</cdr:y>
    </cdr:to>
    <cdr:sp macro="[0]!shell_click" textlink="">
      <cdr:nvSpPr>
        <cdr:cNvPr id="2" name="Flowchart: Terminator 1">
          <a:extLst xmlns:a="http://schemas.openxmlformats.org/drawingml/2006/main">
            <a:ext uri="{FF2B5EF4-FFF2-40B4-BE49-F238E27FC236}">
              <a16:creationId xmlns:a16="http://schemas.microsoft.com/office/drawing/2014/main" id="{A9DEAEC6-8FAE-4136-8F59-2AF4D1B10121}"/>
            </a:ext>
          </a:extLst>
        </cdr:cNvPr>
        <cdr:cNvSpPr/>
      </cdr:nvSpPr>
      <cdr:spPr>
        <a:xfrm xmlns:a="http://schemas.openxmlformats.org/drawingml/2006/main">
          <a:off x="2936875" y="98425"/>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0.74242</cdr:x>
      <cdr:y>0.0656</cdr:y>
    </cdr:from>
    <cdr:to>
      <cdr:x>0.94737</cdr:x>
      <cdr:y>0.20745</cdr:y>
    </cdr:to>
    <cdr:sp macro="[0]!shell_click" textlink="">
      <cdr:nvSpPr>
        <cdr:cNvPr id="3" name="TextBox 17">
          <a:extLst xmlns:a="http://schemas.openxmlformats.org/drawingml/2006/main">
            <a:ext uri="{FF2B5EF4-FFF2-40B4-BE49-F238E27FC236}">
              <a16:creationId xmlns:a16="http://schemas.microsoft.com/office/drawing/2014/main" id="{70A9C41B-9890-4B7C-A25F-CCADCFB5CFAE}"/>
            </a:ext>
          </a:extLst>
        </cdr:cNvPr>
        <cdr:cNvSpPr txBox="1"/>
      </cdr:nvSpPr>
      <cdr:spPr>
        <a:xfrm xmlns:a="http://schemas.openxmlformats.org/drawingml/2006/main">
          <a:off x="2955925" y="117475"/>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7.xml><?xml version="1.0" encoding="utf-8"?>
<c:userShapes xmlns:c="http://schemas.openxmlformats.org/drawingml/2006/chart">
  <cdr:relSizeAnchor xmlns:cdr="http://schemas.openxmlformats.org/drawingml/2006/chartDrawing">
    <cdr:from>
      <cdr:x>0.74181</cdr:x>
      <cdr:y>0.05526</cdr:y>
    </cdr:from>
    <cdr:to>
      <cdr:x>0.95923</cdr:x>
      <cdr:y>0.22522</cdr:y>
    </cdr:to>
    <cdr:sp macro="[0]!raytheon_click" textlink="">
      <cdr:nvSpPr>
        <cdr:cNvPr id="2" name="Flowchart: Terminator 1">
          <a:extLst xmlns:a="http://schemas.openxmlformats.org/drawingml/2006/main">
            <a:ext uri="{FF2B5EF4-FFF2-40B4-BE49-F238E27FC236}">
              <a16:creationId xmlns:a16="http://schemas.microsoft.com/office/drawing/2014/main" id="{A9DEAEC6-8FAE-4136-8F59-2AF4D1B10121}"/>
            </a:ext>
          </a:extLst>
        </cdr:cNvPr>
        <cdr:cNvSpPr/>
      </cdr:nvSpPr>
      <cdr:spPr>
        <a:xfrm xmlns:a="http://schemas.openxmlformats.org/drawingml/2006/main">
          <a:off x="2946400" y="98425"/>
          <a:ext cx="863606" cy="302726"/>
        </a:xfrm>
        <a:prstGeom xmlns:a="http://schemas.openxmlformats.org/drawingml/2006/main" prst="flowChartTerminator">
          <a:avLst/>
        </a:prstGeom>
        <a:ln xmlns:a="http://schemas.openxmlformats.org/drawingml/2006/main"/>
      </cdr:spPr>
      <cdr:style>
        <a:lnRef xmlns:a="http://schemas.openxmlformats.org/drawingml/2006/main" idx="1">
          <a:schemeClr val="accent2"/>
        </a:lnRef>
        <a:fillRef xmlns:a="http://schemas.openxmlformats.org/drawingml/2006/main" idx="2">
          <a:schemeClr val="accent2"/>
        </a:fillRef>
        <a:effectRef xmlns:a="http://schemas.openxmlformats.org/drawingml/2006/main" idx="1">
          <a:schemeClr val="accent2"/>
        </a:effectRef>
        <a:fontRef xmlns:a="http://schemas.openxmlformats.org/drawingml/2006/main" idx="minor">
          <a:schemeClr val="dk1"/>
        </a:fontRef>
      </cdr:style>
      <cdr:txBody>
        <a:bodyPr xmlns:a="http://schemas.openxmlformats.org/drawingml/2006/main"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endParaRPr lang="en-US" sz="1100"/>
        </a:p>
      </cdr:txBody>
    </cdr:sp>
  </cdr:relSizeAnchor>
  <cdr:relSizeAnchor xmlns:cdr="http://schemas.openxmlformats.org/drawingml/2006/chartDrawing">
    <cdr:from>
      <cdr:x>0.7538</cdr:x>
      <cdr:y>0.0713</cdr:y>
    </cdr:from>
    <cdr:to>
      <cdr:x>0.95923</cdr:x>
      <cdr:y>0.21391</cdr:y>
    </cdr:to>
    <cdr:sp macro="[0]!raytheon_click" textlink="">
      <cdr:nvSpPr>
        <cdr:cNvPr id="3" name="TextBox 17">
          <a:extLst xmlns:a="http://schemas.openxmlformats.org/drawingml/2006/main">
            <a:ext uri="{FF2B5EF4-FFF2-40B4-BE49-F238E27FC236}">
              <a16:creationId xmlns:a16="http://schemas.microsoft.com/office/drawing/2014/main" id="{70A9C41B-9890-4B7C-A25F-CCADCFB5CFAE}"/>
            </a:ext>
          </a:extLst>
        </cdr:cNvPr>
        <cdr:cNvSpPr txBox="1"/>
      </cdr:nvSpPr>
      <cdr:spPr>
        <a:xfrm xmlns:a="http://schemas.openxmlformats.org/drawingml/2006/main">
          <a:off x="2994025" y="127000"/>
          <a:ext cx="815980" cy="25400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accent6"/>
        </a:fontRef>
      </cdr:style>
      <cdr:txBody>
        <a:bodyPr xmlns:a="http://schemas.openxmlformats.org/drawingml/2006/main" wrap="square" rtlCol="0" anchor="t"/>
        <a:lstStyle xmlns:a="http://schemas.openxmlformats.org/drawingml/2006/main">
          <a:lvl1pPr marL="0" indent="0">
            <a:defRPr sz="1100">
              <a:solidFill>
                <a:schemeClr val="accent6"/>
              </a:solidFill>
              <a:latin typeface="+mn-lt"/>
              <a:ea typeface="+mn-ea"/>
              <a:cs typeface="+mn-cs"/>
            </a:defRPr>
          </a:lvl1pPr>
          <a:lvl2pPr marL="457200" indent="0">
            <a:defRPr sz="1100">
              <a:solidFill>
                <a:schemeClr val="accent6"/>
              </a:solidFill>
              <a:latin typeface="+mn-lt"/>
              <a:ea typeface="+mn-ea"/>
              <a:cs typeface="+mn-cs"/>
            </a:defRPr>
          </a:lvl2pPr>
          <a:lvl3pPr marL="914400" indent="0">
            <a:defRPr sz="1100">
              <a:solidFill>
                <a:schemeClr val="accent6"/>
              </a:solidFill>
              <a:latin typeface="+mn-lt"/>
              <a:ea typeface="+mn-ea"/>
              <a:cs typeface="+mn-cs"/>
            </a:defRPr>
          </a:lvl3pPr>
          <a:lvl4pPr marL="1371600" indent="0">
            <a:defRPr sz="1100">
              <a:solidFill>
                <a:schemeClr val="accent6"/>
              </a:solidFill>
              <a:latin typeface="+mn-lt"/>
              <a:ea typeface="+mn-ea"/>
              <a:cs typeface="+mn-cs"/>
            </a:defRPr>
          </a:lvl4pPr>
          <a:lvl5pPr marL="1828800" indent="0">
            <a:defRPr sz="1100">
              <a:solidFill>
                <a:schemeClr val="accent6"/>
              </a:solidFill>
              <a:latin typeface="+mn-lt"/>
              <a:ea typeface="+mn-ea"/>
              <a:cs typeface="+mn-cs"/>
            </a:defRPr>
          </a:lvl5pPr>
          <a:lvl6pPr marL="2286000" indent="0">
            <a:defRPr sz="1100">
              <a:solidFill>
                <a:schemeClr val="accent6"/>
              </a:solidFill>
              <a:latin typeface="+mn-lt"/>
              <a:ea typeface="+mn-ea"/>
              <a:cs typeface="+mn-cs"/>
            </a:defRPr>
          </a:lvl6pPr>
          <a:lvl7pPr marL="2743200" indent="0">
            <a:defRPr sz="1100">
              <a:solidFill>
                <a:schemeClr val="accent6"/>
              </a:solidFill>
              <a:latin typeface="+mn-lt"/>
              <a:ea typeface="+mn-ea"/>
              <a:cs typeface="+mn-cs"/>
            </a:defRPr>
          </a:lvl7pPr>
          <a:lvl8pPr marL="3200400" indent="0">
            <a:defRPr sz="1100">
              <a:solidFill>
                <a:schemeClr val="accent6"/>
              </a:solidFill>
              <a:latin typeface="+mn-lt"/>
              <a:ea typeface="+mn-ea"/>
              <a:cs typeface="+mn-cs"/>
            </a:defRPr>
          </a:lvl8pPr>
          <a:lvl9pPr marL="3657600" indent="0">
            <a:defRPr sz="1100">
              <a:solidFill>
                <a:schemeClr val="accent6"/>
              </a:solidFill>
              <a:latin typeface="+mn-lt"/>
              <a:ea typeface="+mn-ea"/>
              <a:cs typeface="+mn-cs"/>
            </a:defRPr>
          </a:lvl9pPr>
        </a:lstStyle>
        <a:p xmlns:a="http://schemas.openxmlformats.org/drawingml/2006/main">
          <a:pPr algn="ctr"/>
          <a:r>
            <a:rPr lang="en-US" sz="1000" b="0">
              <a:solidFill>
                <a:sysClr val="windowText" lastClr="000000"/>
              </a:solidFill>
              <a:latin typeface="+mn-lt"/>
              <a:cs typeface="Calibri Light" panose="020F0302020204030204" pitchFamily="34" charset="0"/>
            </a:rPr>
            <a:t>Summary</a:t>
          </a: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437722</xdr:colOff>
      <xdr:row>3</xdr:row>
      <xdr:rowOff>130246</xdr:rowOff>
    </xdr:to>
    <xdr:sp macro="" textlink="">
      <xdr:nvSpPr>
        <xdr:cNvPr id="15" name="Rectangle 14">
          <a:extLst>
            <a:ext uri="{FF2B5EF4-FFF2-40B4-BE49-F238E27FC236}">
              <a16:creationId xmlns:a16="http://schemas.microsoft.com/office/drawing/2014/main" id="{1AA88B77-10E4-4926-8FD2-3F4203617812}"/>
            </a:ext>
          </a:extLst>
        </xdr:cNvPr>
        <xdr:cNvSpPr/>
      </xdr:nvSpPr>
      <xdr:spPr>
        <a:xfrm>
          <a:off x="0" y="0"/>
          <a:ext cx="24288322" cy="758896"/>
        </a:xfrm>
        <a:prstGeom prst="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885825</xdr:colOff>
      <xdr:row>0</xdr:row>
      <xdr:rowOff>85725</xdr:rowOff>
    </xdr:from>
    <xdr:to>
      <xdr:col>8</xdr:col>
      <xdr:colOff>904875</xdr:colOff>
      <xdr:row>2</xdr:row>
      <xdr:rowOff>133350</xdr:rowOff>
    </xdr:to>
    <xdr:sp macro="" textlink="">
      <xdr:nvSpPr>
        <xdr:cNvPr id="16" name="TextBox 15">
          <a:extLst>
            <a:ext uri="{FF2B5EF4-FFF2-40B4-BE49-F238E27FC236}">
              <a16:creationId xmlns:a16="http://schemas.microsoft.com/office/drawing/2014/main" id="{4C973EDA-62A4-4184-A2E1-1F6012BF0847}"/>
            </a:ext>
          </a:extLst>
        </xdr:cNvPr>
        <xdr:cNvSpPr txBox="1"/>
      </xdr:nvSpPr>
      <xdr:spPr>
        <a:xfrm>
          <a:off x="5895975" y="85725"/>
          <a:ext cx="5248275" cy="4857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2800">
              <a:solidFill>
                <a:sysClr val="windowText" lastClr="000000"/>
              </a:solidFill>
              <a:latin typeface="Arial Rounded MT Bold" panose="020F0704030504030204" pitchFamily="34" charset="0"/>
            </a:rPr>
            <a:t>Buy </a:t>
          </a:r>
        </a:p>
      </xdr:txBody>
    </xdr:sp>
    <xdr:clientData/>
  </xdr:twoCellAnchor>
  <xdr:twoCellAnchor>
    <xdr:from>
      <xdr:col>11</xdr:col>
      <xdr:colOff>561975</xdr:colOff>
      <xdr:row>19</xdr:row>
      <xdr:rowOff>9525</xdr:rowOff>
    </xdr:from>
    <xdr:to>
      <xdr:col>12</xdr:col>
      <xdr:colOff>756542</xdr:colOff>
      <xdr:row>21</xdr:row>
      <xdr:rowOff>23331</xdr:rowOff>
    </xdr:to>
    <xdr:sp macro="[0]!Module1.showform" textlink="">
      <xdr:nvSpPr>
        <xdr:cNvPr id="17" name="Flowchart: Terminator 16">
          <a:extLst>
            <a:ext uri="{FF2B5EF4-FFF2-40B4-BE49-F238E27FC236}">
              <a16:creationId xmlns:a16="http://schemas.microsoft.com/office/drawing/2014/main" id="{FF80D806-C05E-420A-B648-1D1AEB8CCE00}"/>
            </a:ext>
          </a:extLst>
        </xdr:cNvPr>
        <xdr:cNvSpPr/>
      </xdr:nvSpPr>
      <xdr:spPr>
        <a:xfrm>
          <a:off x="14058900" y="3686175"/>
          <a:ext cx="1289942" cy="394806"/>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609600</xdr:colOff>
      <xdr:row>19</xdr:row>
      <xdr:rowOff>66675</xdr:rowOff>
    </xdr:from>
    <xdr:to>
      <xdr:col>12</xdr:col>
      <xdr:colOff>686656</xdr:colOff>
      <xdr:row>21</xdr:row>
      <xdr:rowOff>17445</xdr:rowOff>
    </xdr:to>
    <xdr:sp macro="[0]!Module1.showform" textlink="">
      <xdr:nvSpPr>
        <xdr:cNvPr id="19" name="TextBox 18">
          <a:extLst>
            <a:ext uri="{FF2B5EF4-FFF2-40B4-BE49-F238E27FC236}">
              <a16:creationId xmlns:a16="http://schemas.microsoft.com/office/drawing/2014/main" id="{F51DBE75-0C37-4C47-BC9C-FA57D7DB879C}"/>
            </a:ext>
          </a:extLst>
        </xdr:cNvPr>
        <xdr:cNvSpPr txBox="1"/>
      </xdr:nvSpPr>
      <xdr:spPr>
        <a:xfrm>
          <a:off x="14106525" y="3743325"/>
          <a:ext cx="1172431" cy="331770"/>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Buy</a:t>
          </a:r>
        </a:p>
      </xdr:txBody>
    </xdr:sp>
    <xdr:clientData/>
  </xdr:twoCellAnchor>
  <xdr:twoCellAnchor>
    <xdr:from>
      <xdr:col>12</xdr:col>
      <xdr:colOff>828676</xdr:colOff>
      <xdr:row>19</xdr:row>
      <xdr:rowOff>0</xdr:rowOff>
    </xdr:from>
    <xdr:to>
      <xdr:col>14</xdr:col>
      <xdr:colOff>180976</xdr:colOff>
      <xdr:row>21</xdr:row>
      <xdr:rowOff>23331</xdr:rowOff>
    </xdr:to>
    <xdr:sp macro="" textlink="">
      <xdr:nvSpPr>
        <xdr:cNvPr id="20" name="Flowchart: Terminator 19">
          <a:extLst>
            <a:ext uri="{FF2B5EF4-FFF2-40B4-BE49-F238E27FC236}">
              <a16:creationId xmlns:a16="http://schemas.microsoft.com/office/drawing/2014/main" id="{CB4E17BF-BDE3-4723-ABA9-672C5E8C63B4}"/>
            </a:ext>
          </a:extLst>
        </xdr:cNvPr>
        <xdr:cNvSpPr/>
      </xdr:nvSpPr>
      <xdr:spPr>
        <a:xfrm>
          <a:off x="15420976" y="3676650"/>
          <a:ext cx="1333500" cy="404331"/>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876301</xdr:colOff>
      <xdr:row>19</xdr:row>
      <xdr:rowOff>57151</xdr:rowOff>
    </xdr:from>
    <xdr:to>
      <xdr:col>14</xdr:col>
      <xdr:colOff>114300</xdr:colOff>
      <xdr:row>21</xdr:row>
      <xdr:rowOff>19050</xdr:rowOff>
    </xdr:to>
    <xdr:sp macro="[0]!Module2.showform" textlink="">
      <xdr:nvSpPr>
        <xdr:cNvPr id="21" name="TextBox 20">
          <a:extLst>
            <a:ext uri="{FF2B5EF4-FFF2-40B4-BE49-F238E27FC236}">
              <a16:creationId xmlns:a16="http://schemas.microsoft.com/office/drawing/2014/main" id="{E5EC7B20-01B1-4D35-A41E-87A393527543}"/>
            </a:ext>
          </a:extLst>
        </xdr:cNvPr>
        <xdr:cNvSpPr txBox="1"/>
      </xdr:nvSpPr>
      <xdr:spPr>
        <a:xfrm>
          <a:off x="15468601" y="3733801"/>
          <a:ext cx="1219199" cy="342899"/>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Sell</a:t>
          </a:r>
        </a:p>
      </xdr:txBody>
    </xdr:sp>
    <xdr:clientData/>
  </xdr:twoCellAnchor>
  <xdr:twoCellAnchor editAs="oneCell">
    <xdr:from>
      <xdr:col>11</xdr:col>
      <xdr:colOff>885825</xdr:colOff>
      <xdr:row>0</xdr:row>
      <xdr:rowOff>247649</xdr:rowOff>
    </xdr:from>
    <xdr:to>
      <xdr:col>12</xdr:col>
      <xdr:colOff>85725</xdr:colOff>
      <xdr:row>2</xdr:row>
      <xdr:rowOff>104774</xdr:rowOff>
    </xdr:to>
    <xdr:pic macro="[0]!Graphic45_Click">
      <xdr:nvPicPr>
        <xdr:cNvPr id="32" name="Graphic 31" descr="Coins">
          <a:extLst>
            <a:ext uri="{FF2B5EF4-FFF2-40B4-BE49-F238E27FC236}">
              <a16:creationId xmlns:a16="http://schemas.microsoft.com/office/drawing/2014/main" id="{E9E7440E-A117-4BB1-9CFC-E791EB4F51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06575" y="247649"/>
          <a:ext cx="295275" cy="295275"/>
        </a:xfrm>
        <a:prstGeom prst="rect">
          <a:avLst/>
        </a:prstGeom>
      </xdr:spPr>
    </xdr:pic>
    <xdr:clientData/>
  </xdr:twoCellAnchor>
  <xdr:twoCellAnchor editAs="oneCell">
    <xdr:from>
      <xdr:col>12</xdr:col>
      <xdr:colOff>857249</xdr:colOff>
      <xdr:row>1</xdr:row>
      <xdr:rowOff>19049</xdr:rowOff>
    </xdr:from>
    <xdr:to>
      <xdr:col>13</xdr:col>
      <xdr:colOff>104775</xdr:colOff>
      <xdr:row>2</xdr:row>
      <xdr:rowOff>114300</xdr:rowOff>
    </xdr:to>
    <xdr:pic macro="[0]!Graphic92_Click">
      <xdr:nvPicPr>
        <xdr:cNvPr id="33" name="Graphic 32" descr="Bar chart">
          <a:extLst>
            <a:ext uri="{FF2B5EF4-FFF2-40B4-BE49-F238E27FC236}">
              <a16:creationId xmlns:a16="http://schemas.microsoft.com/office/drawing/2014/main" id="{3CB9EEC0-301A-4F78-861E-C4218B6FFCB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573374" y="266699"/>
          <a:ext cx="285751" cy="285751"/>
        </a:xfrm>
        <a:prstGeom prst="rect">
          <a:avLst/>
        </a:prstGeom>
      </xdr:spPr>
    </xdr:pic>
    <xdr:clientData/>
  </xdr:twoCellAnchor>
  <xdr:twoCellAnchor editAs="oneCell">
    <xdr:from>
      <xdr:col>12</xdr:col>
      <xdr:colOff>342900</xdr:colOff>
      <xdr:row>1</xdr:row>
      <xdr:rowOff>9524</xdr:rowOff>
    </xdr:from>
    <xdr:to>
      <xdr:col>12</xdr:col>
      <xdr:colOff>631539</xdr:colOff>
      <xdr:row>2</xdr:row>
      <xdr:rowOff>107663</xdr:rowOff>
    </xdr:to>
    <xdr:pic macro="[0]!Graphic11_Click">
      <xdr:nvPicPr>
        <xdr:cNvPr id="34" name="Graphic 33" descr="Pie chart">
          <a:extLst>
            <a:ext uri="{FF2B5EF4-FFF2-40B4-BE49-F238E27FC236}">
              <a16:creationId xmlns:a16="http://schemas.microsoft.com/office/drawing/2014/main" id="{4219E40E-32E3-47C3-9F62-7CE3275CA09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059025" y="257174"/>
          <a:ext cx="288639" cy="288639"/>
        </a:xfrm>
        <a:prstGeom prst="rect">
          <a:avLst/>
        </a:prstGeom>
      </xdr:spPr>
    </xdr:pic>
    <xdr:clientData/>
  </xdr:twoCellAnchor>
  <xdr:twoCellAnchor editAs="oneCell">
    <xdr:from>
      <xdr:col>11</xdr:col>
      <xdr:colOff>314325</xdr:colOff>
      <xdr:row>1</xdr:row>
      <xdr:rowOff>9524</xdr:rowOff>
    </xdr:from>
    <xdr:to>
      <xdr:col>11</xdr:col>
      <xdr:colOff>628650</xdr:colOff>
      <xdr:row>2</xdr:row>
      <xdr:rowOff>133349</xdr:rowOff>
    </xdr:to>
    <xdr:pic macro="[0]!Buy_Graphic12_Click">
      <xdr:nvPicPr>
        <xdr:cNvPr id="3" name="Graphic 2" descr="Table">
          <a:extLst>
            <a:ext uri="{FF2B5EF4-FFF2-40B4-BE49-F238E27FC236}">
              <a16:creationId xmlns:a16="http://schemas.microsoft.com/office/drawing/2014/main" id="{31C51A2D-CC4F-423B-A220-FB8EC753CCD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3935075" y="257174"/>
          <a:ext cx="314325" cy="3143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218647</xdr:colOff>
      <xdr:row>3</xdr:row>
      <xdr:rowOff>187396</xdr:rowOff>
    </xdr:to>
    <xdr:sp macro="" textlink="">
      <xdr:nvSpPr>
        <xdr:cNvPr id="10" name="Rectangle 9">
          <a:extLst>
            <a:ext uri="{FF2B5EF4-FFF2-40B4-BE49-F238E27FC236}">
              <a16:creationId xmlns:a16="http://schemas.microsoft.com/office/drawing/2014/main" id="{B70C9CA9-D631-49F6-96FE-0FFF573DFCEC}"/>
            </a:ext>
          </a:extLst>
        </xdr:cNvPr>
        <xdr:cNvSpPr/>
      </xdr:nvSpPr>
      <xdr:spPr>
        <a:xfrm>
          <a:off x="0" y="0"/>
          <a:ext cx="25059847" cy="758896"/>
        </a:xfrm>
        <a:prstGeom prst="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714375</xdr:colOff>
      <xdr:row>0</xdr:row>
      <xdr:rowOff>95250</xdr:rowOff>
    </xdr:from>
    <xdr:to>
      <xdr:col>10</xdr:col>
      <xdr:colOff>190500</xdr:colOff>
      <xdr:row>3</xdr:row>
      <xdr:rowOff>9525</xdr:rowOff>
    </xdr:to>
    <xdr:sp macro="" textlink="">
      <xdr:nvSpPr>
        <xdr:cNvPr id="11" name="TextBox 10">
          <a:extLst>
            <a:ext uri="{FF2B5EF4-FFF2-40B4-BE49-F238E27FC236}">
              <a16:creationId xmlns:a16="http://schemas.microsoft.com/office/drawing/2014/main" id="{BB46DC1B-3F82-4D89-BA9D-F89724854E10}"/>
            </a:ext>
          </a:extLst>
        </xdr:cNvPr>
        <xdr:cNvSpPr txBox="1"/>
      </xdr:nvSpPr>
      <xdr:spPr>
        <a:xfrm>
          <a:off x="5838825" y="95250"/>
          <a:ext cx="5867400" cy="4857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2800">
              <a:solidFill>
                <a:sysClr val="windowText" lastClr="000000"/>
              </a:solidFill>
              <a:latin typeface="Arial Rounded MT Bold" panose="020F0704030504030204" pitchFamily="34" charset="0"/>
            </a:rPr>
            <a:t>Sell</a:t>
          </a:r>
        </a:p>
        <a:p>
          <a:pPr algn="ctr"/>
          <a:endParaRPr lang="en-US" sz="2800">
            <a:solidFill>
              <a:sysClr val="windowText" lastClr="000000"/>
            </a:solidFill>
            <a:latin typeface="Arial Rounded MT Bold" panose="020F0704030504030204" pitchFamily="34" charset="0"/>
          </a:endParaRPr>
        </a:p>
      </xdr:txBody>
    </xdr:sp>
    <xdr:clientData/>
  </xdr:twoCellAnchor>
  <xdr:twoCellAnchor>
    <xdr:from>
      <xdr:col>13</xdr:col>
      <xdr:colOff>533401</xdr:colOff>
      <xdr:row>18</xdr:row>
      <xdr:rowOff>161925</xdr:rowOff>
    </xdr:from>
    <xdr:to>
      <xdr:col>14</xdr:col>
      <xdr:colOff>771526</xdr:colOff>
      <xdr:row>20</xdr:row>
      <xdr:rowOff>185256</xdr:rowOff>
    </xdr:to>
    <xdr:sp macro="[0]!Module1.showform" textlink="">
      <xdr:nvSpPr>
        <xdr:cNvPr id="12" name="Flowchart: Terminator 11">
          <a:extLst>
            <a:ext uri="{FF2B5EF4-FFF2-40B4-BE49-F238E27FC236}">
              <a16:creationId xmlns:a16="http://schemas.microsoft.com/office/drawing/2014/main" id="{CC65911D-3FC6-432B-87FF-796356AB4E43}"/>
            </a:ext>
          </a:extLst>
        </xdr:cNvPr>
        <xdr:cNvSpPr/>
      </xdr:nvSpPr>
      <xdr:spPr>
        <a:xfrm>
          <a:off x="13877926" y="3590925"/>
          <a:ext cx="1333500" cy="404331"/>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13</xdr:col>
      <xdr:colOff>609600</xdr:colOff>
      <xdr:row>19</xdr:row>
      <xdr:rowOff>9525</xdr:rowOff>
    </xdr:from>
    <xdr:to>
      <xdr:col>14</xdr:col>
      <xdr:colOff>734281</xdr:colOff>
      <xdr:row>20</xdr:row>
      <xdr:rowOff>150795</xdr:rowOff>
    </xdr:to>
    <xdr:sp macro="[0]!Module1.showform" textlink="">
      <xdr:nvSpPr>
        <xdr:cNvPr id="13" name="TextBox 12">
          <a:extLst>
            <a:ext uri="{FF2B5EF4-FFF2-40B4-BE49-F238E27FC236}">
              <a16:creationId xmlns:a16="http://schemas.microsoft.com/office/drawing/2014/main" id="{E96477B3-7AAC-403C-B55F-3848F33AE3BE}"/>
            </a:ext>
          </a:extLst>
        </xdr:cNvPr>
        <xdr:cNvSpPr txBox="1"/>
      </xdr:nvSpPr>
      <xdr:spPr>
        <a:xfrm>
          <a:off x="13954125" y="3629025"/>
          <a:ext cx="1220056" cy="331770"/>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Buy</a:t>
          </a:r>
        </a:p>
      </xdr:txBody>
    </xdr:sp>
    <xdr:clientData/>
  </xdr:twoCellAnchor>
  <xdr:twoCellAnchor>
    <xdr:from>
      <xdr:col>14</xdr:col>
      <xdr:colOff>876300</xdr:colOff>
      <xdr:row>18</xdr:row>
      <xdr:rowOff>152400</xdr:rowOff>
    </xdr:from>
    <xdr:to>
      <xdr:col>16</xdr:col>
      <xdr:colOff>161925</xdr:colOff>
      <xdr:row>20</xdr:row>
      <xdr:rowOff>175731</xdr:rowOff>
    </xdr:to>
    <xdr:sp macro="[0]!Module2.showform" textlink="">
      <xdr:nvSpPr>
        <xdr:cNvPr id="14" name="Flowchart: Terminator 13">
          <a:extLst>
            <a:ext uri="{FF2B5EF4-FFF2-40B4-BE49-F238E27FC236}">
              <a16:creationId xmlns:a16="http://schemas.microsoft.com/office/drawing/2014/main" id="{877E6204-CC5C-4265-AC22-4652C2C4BCF5}"/>
            </a:ext>
          </a:extLst>
        </xdr:cNvPr>
        <xdr:cNvSpPr/>
      </xdr:nvSpPr>
      <xdr:spPr>
        <a:xfrm>
          <a:off x="15316200" y="3581400"/>
          <a:ext cx="1343025" cy="404331"/>
        </a:xfrm>
        <a:prstGeom prst="flowChartTerminator">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14</xdr:col>
      <xdr:colOff>942975</xdr:colOff>
      <xdr:row>19</xdr:row>
      <xdr:rowOff>9526</xdr:rowOff>
    </xdr:from>
    <xdr:to>
      <xdr:col>16</xdr:col>
      <xdr:colOff>85725</xdr:colOff>
      <xdr:row>21</xdr:row>
      <xdr:rowOff>2</xdr:rowOff>
    </xdr:to>
    <xdr:sp macro="[0]!Module2.showform" textlink="">
      <xdr:nvSpPr>
        <xdr:cNvPr id="16" name="TextBox 15">
          <a:extLst>
            <a:ext uri="{FF2B5EF4-FFF2-40B4-BE49-F238E27FC236}">
              <a16:creationId xmlns:a16="http://schemas.microsoft.com/office/drawing/2014/main" id="{32AEAF50-EC16-4361-BCA2-1B16384D06E9}"/>
            </a:ext>
          </a:extLst>
        </xdr:cNvPr>
        <xdr:cNvSpPr txBox="1"/>
      </xdr:nvSpPr>
      <xdr:spPr>
        <a:xfrm>
          <a:off x="15382875" y="3629026"/>
          <a:ext cx="1200150" cy="371476"/>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1100" b="1">
              <a:solidFill>
                <a:sysClr val="windowText" lastClr="000000"/>
              </a:solidFill>
              <a:latin typeface="Arial Rounded MT Bold" panose="020F0704030504030204" pitchFamily="34" charset="0"/>
            </a:rPr>
            <a:t>Sell</a:t>
          </a:r>
        </a:p>
      </xdr:txBody>
    </xdr:sp>
    <xdr:clientData/>
  </xdr:twoCellAnchor>
  <xdr:twoCellAnchor editAs="oneCell">
    <xdr:from>
      <xdr:col>13</xdr:col>
      <xdr:colOff>762000</xdr:colOff>
      <xdr:row>1</xdr:row>
      <xdr:rowOff>19050</xdr:rowOff>
    </xdr:from>
    <xdr:to>
      <xdr:col>13</xdr:col>
      <xdr:colOff>1085850</xdr:colOff>
      <xdr:row>2</xdr:row>
      <xdr:rowOff>152400</xdr:rowOff>
    </xdr:to>
    <xdr:pic macro="[0]!Graphic14_Click">
      <xdr:nvPicPr>
        <xdr:cNvPr id="20" name="Graphic 19" descr="Wallet">
          <a:extLst>
            <a:ext uri="{FF2B5EF4-FFF2-40B4-BE49-F238E27FC236}">
              <a16:creationId xmlns:a16="http://schemas.microsoft.com/office/drawing/2014/main" id="{7A994836-B1A0-409D-AC8B-4769828DC3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106525" y="209550"/>
          <a:ext cx="323850" cy="323850"/>
        </a:xfrm>
        <a:prstGeom prst="rect">
          <a:avLst/>
        </a:prstGeom>
      </xdr:spPr>
    </xdr:pic>
    <xdr:clientData/>
  </xdr:twoCellAnchor>
  <xdr:twoCellAnchor editAs="oneCell">
    <xdr:from>
      <xdr:col>14</xdr:col>
      <xdr:colOff>714374</xdr:colOff>
      <xdr:row>1</xdr:row>
      <xdr:rowOff>38099</xdr:rowOff>
    </xdr:from>
    <xdr:to>
      <xdr:col>14</xdr:col>
      <xdr:colOff>1000125</xdr:colOff>
      <xdr:row>2</xdr:row>
      <xdr:rowOff>133350</xdr:rowOff>
    </xdr:to>
    <xdr:pic macro="[0]!Graphic92_Click">
      <xdr:nvPicPr>
        <xdr:cNvPr id="22" name="Graphic 21" descr="Bar chart">
          <a:extLst>
            <a:ext uri="{FF2B5EF4-FFF2-40B4-BE49-F238E27FC236}">
              <a16:creationId xmlns:a16="http://schemas.microsoft.com/office/drawing/2014/main" id="{DB76DCC9-0C68-441B-8704-670A26D88DB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154274" y="228599"/>
          <a:ext cx="285751" cy="285751"/>
        </a:xfrm>
        <a:prstGeom prst="rect">
          <a:avLst/>
        </a:prstGeom>
      </xdr:spPr>
    </xdr:pic>
    <xdr:clientData/>
  </xdr:twoCellAnchor>
  <xdr:twoCellAnchor editAs="oneCell">
    <xdr:from>
      <xdr:col>14</xdr:col>
      <xdr:colOff>200025</xdr:colOff>
      <xdr:row>1</xdr:row>
      <xdr:rowOff>28574</xdr:rowOff>
    </xdr:from>
    <xdr:to>
      <xdr:col>14</xdr:col>
      <xdr:colOff>488664</xdr:colOff>
      <xdr:row>2</xdr:row>
      <xdr:rowOff>126713</xdr:rowOff>
    </xdr:to>
    <xdr:pic macro="[0]!Graphic11_Click">
      <xdr:nvPicPr>
        <xdr:cNvPr id="23" name="Graphic 22" descr="Pie chart">
          <a:extLst>
            <a:ext uri="{FF2B5EF4-FFF2-40B4-BE49-F238E27FC236}">
              <a16:creationId xmlns:a16="http://schemas.microsoft.com/office/drawing/2014/main" id="{EA66AE29-BD77-4548-8156-3EE9EC23B95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4639925" y="219074"/>
          <a:ext cx="288639" cy="288639"/>
        </a:xfrm>
        <a:prstGeom prst="rect">
          <a:avLst/>
        </a:prstGeom>
      </xdr:spPr>
    </xdr:pic>
    <xdr:clientData/>
  </xdr:twoCellAnchor>
  <xdr:twoCellAnchor editAs="oneCell">
    <xdr:from>
      <xdr:col>13</xdr:col>
      <xdr:colOff>180975</xdr:colOff>
      <xdr:row>1</xdr:row>
      <xdr:rowOff>19050</xdr:rowOff>
    </xdr:from>
    <xdr:to>
      <xdr:col>13</xdr:col>
      <xdr:colOff>495300</xdr:colOff>
      <xdr:row>2</xdr:row>
      <xdr:rowOff>142875</xdr:rowOff>
    </xdr:to>
    <xdr:pic macro="[0]!Buy_Graphic12_Click">
      <xdr:nvPicPr>
        <xdr:cNvPr id="24" name="Graphic 23" descr="Table">
          <a:extLst>
            <a:ext uri="{FF2B5EF4-FFF2-40B4-BE49-F238E27FC236}">
              <a16:creationId xmlns:a16="http://schemas.microsoft.com/office/drawing/2014/main" id="{A3B7E9BF-F92C-4026-BDE0-54521EE6A67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3525500" y="209550"/>
          <a:ext cx="314325" cy="3143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64</xdr:col>
      <xdr:colOff>390525</xdr:colOff>
      <xdr:row>3</xdr:row>
      <xdr:rowOff>187396</xdr:rowOff>
    </xdr:to>
    <xdr:sp macro="" textlink="">
      <xdr:nvSpPr>
        <xdr:cNvPr id="4" name="Rectangle 3">
          <a:extLst>
            <a:ext uri="{FF2B5EF4-FFF2-40B4-BE49-F238E27FC236}">
              <a16:creationId xmlns:a16="http://schemas.microsoft.com/office/drawing/2014/main" id="{4AAF593A-22E6-4073-A451-0943311DFA0B}"/>
            </a:ext>
          </a:extLst>
        </xdr:cNvPr>
        <xdr:cNvSpPr/>
      </xdr:nvSpPr>
      <xdr:spPr>
        <a:xfrm>
          <a:off x="0" y="0"/>
          <a:ext cx="40538400" cy="758896"/>
        </a:xfrm>
        <a:prstGeom prst="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514350</xdr:colOff>
      <xdr:row>0</xdr:row>
      <xdr:rowOff>85725</xdr:rowOff>
    </xdr:from>
    <xdr:to>
      <xdr:col>19</xdr:col>
      <xdr:colOff>95250</xdr:colOff>
      <xdr:row>3</xdr:row>
      <xdr:rowOff>0</xdr:rowOff>
    </xdr:to>
    <xdr:sp macro="" textlink="">
      <xdr:nvSpPr>
        <xdr:cNvPr id="5" name="TextBox 4">
          <a:extLst>
            <a:ext uri="{FF2B5EF4-FFF2-40B4-BE49-F238E27FC236}">
              <a16:creationId xmlns:a16="http://schemas.microsoft.com/office/drawing/2014/main" id="{914F190B-F1C8-46CF-9DC0-534D15D9B5A2}"/>
            </a:ext>
          </a:extLst>
        </xdr:cNvPr>
        <xdr:cNvSpPr txBox="1"/>
      </xdr:nvSpPr>
      <xdr:spPr>
        <a:xfrm>
          <a:off x="6267450" y="85725"/>
          <a:ext cx="5581650" cy="4857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2800">
              <a:solidFill>
                <a:sysClr val="windowText" lastClr="000000"/>
              </a:solidFill>
              <a:latin typeface="Arial Rounded MT Bold" panose="020F0704030504030204" pitchFamily="34" charset="0"/>
            </a:rPr>
            <a:t>Stock Data</a:t>
          </a:r>
        </a:p>
        <a:p>
          <a:pPr algn="ctr"/>
          <a:endParaRPr lang="en-US" sz="2800">
            <a:solidFill>
              <a:sysClr val="windowText" lastClr="000000"/>
            </a:solidFill>
            <a:latin typeface="Arial Rounded MT Bold" panose="020F0704030504030204" pitchFamily="34" charset="0"/>
          </a:endParaRPr>
        </a:p>
      </xdr:txBody>
    </xdr:sp>
    <xdr:clientData/>
  </xdr:twoCellAnchor>
  <xdr:twoCellAnchor editAs="oneCell">
    <xdr:from>
      <xdr:col>22</xdr:col>
      <xdr:colOff>266700</xdr:colOff>
      <xdr:row>0</xdr:row>
      <xdr:rowOff>180975</xdr:rowOff>
    </xdr:from>
    <xdr:to>
      <xdr:col>22</xdr:col>
      <xdr:colOff>590550</xdr:colOff>
      <xdr:row>2</xdr:row>
      <xdr:rowOff>123825</xdr:rowOff>
    </xdr:to>
    <xdr:pic macro="[0]!Graphic14_Click">
      <xdr:nvPicPr>
        <xdr:cNvPr id="6" name="Graphic 5" descr="Wallet">
          <a:extLst>
            <a:ext uri="{FF2B5EF4-FFF2-40B4-BE49-F238E27FC236}">
              <a16:creationId xmlns:a16="http://schemas.microsoft.com/office/drawing/2014/main" id="{174AFFD7-E38B-4EB1-BB8D-B1398B1243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011275" y="180975"/>
          <a:ext cx="323850" cy="323850"/>
        </a:xfrm>
        <a:prstGeom prst="rect">
          <a:avLst/>
        </a:prstGeom>
      </xdr:spPr>
    </xdr:pic>
    <xdr:clientData/>
  </xdr:twoCellAnchor>
  <xdr:twoCellAnchor editAs="oneCell">
    <xdr:from>
      <xdr:col>23</xdr:col>
      <xdr:colOff>209550</xdr:colOff>
      <xdr:row>1</xdr:row>
      <xdr:rowOff>19049</xdr:rowOff>
    </xdr:from>
    <xdr:to>
      <xdr:col>23</xdr:col>
      <xdr:colOff>504825</xdr:colOff>
      <xdr:row>2</xdr:row>
      <xdr:rowOff>123824</xdr:rowOff>
    </xdr:to>
    <xdr:pic macro="[0]!Graphic45_Click">
      <xdr:nvPicPr>
        <xdr:cNvPr id="7" name="Graphic 6" descr="Coins">
          <a:extLst>
            <a:ext uri="{FF2B5EF4-FFF2-40B4-BE49-F238E27FC236}">
              <a16:creationId xmlns:a16="http://schemas.microsoft.com/office/drawing/2014/main" id="{81744110-3C83-4975-9D69-7047E05CC4B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639925" y="209549"/>
          <a:ext cx="295275" cy="295275"/>
        </a:xfrm>
        <a:prstGeom prst="rect">
          <a:avLst/>
        </a:prstGeom>
      </xdr:spPr>
    </xdr:pic>
    <xdr:clientData/>
  </xdr:twoCellAnchor>
  <xdr:twoCellAnchor editAs="oneCell">
    <xdr:from>
      <xdr:col>24</xdr:col>
      <xdr:colOff>152400</xdr:colOff>
      <xdr:row>1</xdr:row>
      <xdr:rowOff>28574</xdr:rowOff>
    </xdr:from>
    <xdr:to>
      <xdr:col>24</xdr:col>
      <xdr:colOff>441039</xdr:colOff>
      <xdr:row>2</xdr:row>
      <xdr:rowOff>126713</xdr:rowOff>
    </xdr:to>
    <xdr:pic macro="[0]!Graphic11_Click">
      <xdr:nvPicPr>
        <xdr:cNvPr id="9" name="Graphic 8" descr="Pie chart">
          <a:extLst>
            <a:ext uri="{FF2B5EF4-FFF2-40B4-BE49-F238E27FC236}">
              <a16:creationId xmlns:a16="http://schemas.microsoft.com/office/drawing/2014/main" id="{280F0B66-ADD1-4E47-A606-88B40412BF0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192375" y="219074"/>
          <a:ext cx="288639" cy="288639"/>
        </a:xfrm>
        <a:prstGeom prst="rect">
          <a:avLst/>
        </a:prstGeom>
      </xdr:spPr>
    </xdr:pic>
    <xdr:clientData/>
  </xdr:twoCellAnchor>
  <xdr:twoCellAnchor editAs="oneCell">
    <xdr:from>
      <xdr:col>21</xdr:col>
      <xdr:colOff>609600</xdr:colOff>
      <xdr:row>1</xdr:row>
      <xdr:rowOff>9525</xdr:rowOff>
    </xdr:from>
    <xdr:to>
      <xdr:col>22</xdr:col>
      <xdr:colOff>19050</xdr:colOff>
      <xdr:row>2</xdr:row>
      <xdr:rowOff>133350</xdr:rowOff>
    </xdr:to>
    <xdr:pic macro="[0]!Buy_Graphic12_Click">
      <xdr:nvPicPr>
        <xdr:cNvPr id="10" name="Graphic 9" descr="Table">
          <a:extLst>
            <a:ext uri="{FF2B5EF4-FFF2-40B4-BE49-F238E27FC236}">
              <a16:creationId xmlns:a16="http://schemas.microsoft.com/office/drawing/2014/main" id="{8DFDD9FA-0E6E-4501-A79A-14C42CFCE82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3449300" y="200025"/>
          <a:ext cx="314325" cy="3143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38</xdr:col>
      <xdr:colOff>600075</xdr:colOff>
      <xdr:row>3</xdr:row>
      <xdr:rowOff>187396</xdr:rowOff>
    </xdr:to>
    <xdr:sp macro="" textlink="">
      <xdr:nvSpPr>
        <xdr:cNvPr id="11" name="Rectangle 10">
          <a:extLst>
            <a:ext uri="{FF2B5EF4-FFF2-40B4-BE49-F238E27FC236}">
              <a16:creationId xmlns:a16="http://schemas.microsoft.com/office/drawing/2014/main" id="{C812DDF7-F84A-405C-A038-8D9EBE82222E}"/>
            </a:ext>
          </a:extLst>
        </xdr:cNvPr>
        <xdr:cNvSpPr/>
      </xdr:nvSpPr>
      <xdr:spPr>
        <a:xfrm>
          <a:off x="0" y="0"/>
          <a:ext cx="31270575" cy="758896"/>
        </a:xfrm>
        <a:prstGeom prst="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2486025</xdr:colOff>
      <xdr:row>0</xdr:row>
      <xdr:rowOff>104775</xdr:rowOff>
    </xdr:from>
    <xdr:to>
      <xdr:col>8</xdr:col>
      <xdr:colOff>304800</xdr:colOff>
      <xdr:row>3</xdr:row>
      <xdr:rowOff>19050</xdr:rowOff>
    </xdr:to>
    <xdr:sp macro="" textlink="">
      <xdr:nvSpPr>
        <xdr:cNvPr id="12" name="TextBox 11">
          <a:extLst>
            <a:ext uri="{FF2B5EF4-FFF2-40B4-BE49-F238E27FC236}">
              <a16:creationId xmlns:a16="http://schemas.microsoft.com/office/drawing/2014/main" id="{934F3F55-0795-495F-8B57-D3665AFDCC6C}"/>
            </a:ext>
          </a:extLst>
        </xdr:cNvPr>
        <xdr:cNvSpPr txBox="1"/>
      </xdr:nvSpPr>
      <xdr:spPr>
        <a:xfrm>
          <a:off x="7991475" y="104775"/>
          <a:ext cx="3295650" cy="48577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algn="ctr"/>
          <a:r>
            <a:rPr lang="en-US" sz="2800">
              <a:solidFill>
                <a:sysClr val="windowText" lastClr="000000"/>
              </a:solidFill>
              <a:latin typeface="Arial Rounded MT Bold" panose="020F0704030504030204" pitchFamily="34" charset="0"/>
            </a:rPr>
            <a:t>Pivot Data</a:t>
          </a:r>
        </a:p>
        <a:p>
          <a:pPr algn="ctr"/>
          <a:endParaRPr lang="en-US" sz="2800">
            <a:solidFill>
              <a:sysClr val="windowText" lastClr="000000"/>
            </a:solidFill>
            <a:latin typeface="Arial Rounded MT Bold" panose="020F0704030504030204" pitchFamily="34" charset="0"/>
          </a:endParaRPr>
        </a:p>
      </xdr:txBody>
    </xdr:sp>
    <xdr:clientData/>
  </xdr:twoCellAnchor>
  <xdr:twoCellAnchor editAs="oneCell">
    <xdr:from>
      <xdr:col>12</xdr:col>
      <xdr:colOff>19050</xdr:colOff>
      <xdr:row>1</xdr:row>
      <xdr:rowOff>57150</xdr:rowOff>
    </xdr:from>
    <xdr:to>
      <xdr:col>12</xdr:col>
      <xdr:colOff>342900</xdr:colOff>
      <xdr:row>3</xdr:row>
      <xdr:rowOff>0</xdr:rowOff>
    </xdr:to>
    <xdr:pic macro="[0]!Graphic14_Click">
      <xdr:nvPicPr>
        <xdr:cNvPr id="17" name="Graphic 16" descr="Wallet">
          <a:extLst>
            <a:ext uri="{FF2B5EF4-FFF2-40B4-BE49-F238E27FC236}">
              <a16:creationId xmlns:a16="http://schemas.microsoft.com/office/drawing/2014/main" id="{BA657469-EF80-4057-BA4D-F9D23FD625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839950" y="247650"/>
          <a:ext cx="323850" cy="323850"/>
        </a:xfrm>
        <a:prstGeom prst="rect">
          <a:avLst/>
        </a:prstGeom>
      </xdr:spPr>
    </xdr:pic>
    <xdr:clientData/>
  </xdr:twoCellAnchor>
  <xdr:twoCellAnchor editAs="oneCell">
    <xdr:from>
      <xdr:col>13</xdr:col>
      <xdr:colOff>0</xdr:colOff>
      <xdr:row>1</xdr:row>
      <xdr:rowOff>57149</xdr:rowOff>
    </xdr:from>
    <xdr:to>
      <xdr:col>13</xdr:col>
      <xdr:colOff>295275</xdr:colOff>
      <xdr:row>2</xdr:row>
      <xdr:rowOff>161924</xdr:rowOff>
    </xdr:to>
    <xdr:pic macro="[0]!Graphic45_Click">
      <xdr:nvPicPr>
        <xdr:cNvPr id="18" name="Graphic 17" descr="Coins">
          <a:extLst>
            <a:ext uri="{FF2B5EF4-FFF2-40B4-BE49-F238E27FC236}">
              <a16:creationId xmlns:a16="http://schemas.microsoft.com/office/drawing/2014/main" id="{287594FB-76B8-482A-A9A8-7C127649399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430500" y="247649"/>
          <a:ext cx="295275" cy="295275"/>
        </a:xfrm>
        <a:prstGeom prst="rect">
          <a:avLst/>
        </a:prstGeom>
      </xdr:spPr>
    </xdr:pic>
    <xdr:clientData/>
  </xdr:twoCellAnchor>
  <xdr:twoCellAnchor editAs="oneCell">
    <xdr:from>
      <xdr:col>13</xdr:col>
      <xdr:colOff>552449</xdr:colOff>
      <xdr:row>1</xdr:row>
      <xdr:rowOff>66674</xdr:rowOff>
    </xdr:from>
    <xdr:to>
      <xdr:col>14</xdr:col>
      <xdr:colOff>228600</xdr:colOff>
      <xdr:row>2</xdr:row>
      <xdr:rowOff>161925</xdr:rowOff>
    </xdr:to>
    <xdr:pic macro="[0]!Graphic92_Click">
      <xdr:nvPicPr>
        <xdr:cNvPr id="19" name="Graphic 18" descr="Bar chart">
          <a:extLst>
            <a:ext uri="{FF2B5EF4-FFF2-40B4-BE49-F238E27FC236}">
              <a16:creationId xmlns:a16="http://schemas.microsoft.com/office/drawing/2014/main" id="{92CDE9B4-C43C-4DE5-B967-775782212DD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82949" y="257174"/>
          <a:ext cx="285751" cy="285751"/>
        </a:xfrm>
        <a:prstGeom prst="rect">
          <a:avLst/>
        </a:prstGeom>
      </xdr:spPr>
    </xdr:pic>
    <xdr:clientData/>
  </xdr:twoCellAnchor>
  <xdr:twoCellAnchor editAs="oneCell">
    <xdr:from>
      <xdr:col>11</xdr:col>
      <xdr:colOff>457200</xdr:colOff>
      <xdr:row>1</xdr:row>
      <xdr:rowOff>57150</xdr:rowOff>
    </xdr:from>
    <xdr:to>
      <xdr:col>11</xdr:col>
      <xdr:colOff>771525</xdr:colOff>
      <xdr:row>2</xdr:row>
      <xdr:rowOff>180975</xdr:rowOff>
    </xdr:to>
    <xdr:pic macro="[0]!Buy_Graphic12_Click">
      <xdr:nvPicPr>
        <xdr:cNvPr id="23" name="Graphic 22" descr="Table">
          <a:extLst>
            <a:ext uri="{FF2B5EF4-FFF2-40B4-BE49-F238E27FC236}">
              <a16:creationId xmlns:a16="http://schemas.microsoft.com/office/drawing/2014/main" id="{85D3C8FA-ED08-46F1-8B6C-D201D446613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297025" y="247650"/>
          <a:ext cx="314325" cy="3143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dy" refreshedDate="44041.048404166664" createdVersion="6" refreshedVersion="6" minRefreshableVersion="3" recordCount="4" xr:uid="{8A8646C1-E25D-402B-8255-580136F4C431}">
  <cacheSource type="worksheet">
    <worksheetSource name="Table38"/>
  </cacheSource>
  <cacheFields count="4">
    <cacheField name="Category" numFmtId="0">
      <sharedItems count="4">
        <s v="Green Stocks"/>
        <s v="Oil &amp; Gas"/>
        <s v="Technology"/>
        <s v="Defense"/>
      </sharedItems>
    </cacheField>
    <cacheField name="Preference" numFmtId="9">
      <sharedItems containsSemiMixedTypes="0" containsString="0" containsNumber="1" minValue="0.15" maxValue="0.4" count="3">
        <n v="0.4"/>
        <n v="0.15"/>
        <n v="0.2"/>
      </sharedItems>
    </cacheField>
    <cacheField name="Equity" numFmtId="44">
      <sharedItems containsSemiMixedTypes="0" containsString="0" containsNumber="1" minValue="6560.72" maxValue="32269.5"/>
    </cacheField>
    <cacheField name="Allocation" numFmtId="166">
      <sharedItems containsSemiMixedTypes="0" containsString="0" containsNumber="1" minValue="0.11004411842082626" maxValue="0.54440054420852224" count="100">
        <n v="0.54250181775388662"/>
        <n v="0.11029617830379396"/>
        <n v="0.19337740773585621"/>
        <n v="0.15382459620646322"/>
        <n v="0.15490689684603165" u="1"/>
        <n v="0.19547889586793632" u="1"/>
        <n v="0.53907049170572119" u="1"/>
        <n v="0.5429230982889669" u="1"/>
        <n v="0.11008160756789045" u="1"/>
        <n v="0.15452935446031435" u="1"/>
        <n v="0.15488818832319348" u="1"/>
        <n v="0.15578563018994596" u="1"/>
        <n v="0.11244206304544678" u="1"/>
        <n v="0.54288309442338689" u="1"/>
        <n v="0.19125718938373701" u="1"/>
        <n v="0.11009181105181542" u="1"/>
        <n v="0.54290444520797698" u="1"/>
        <n v="0.15521584855395917" u="1"/>
        <n v="0.11197112887288539" u="1"/>
        <n v="0.19627296489103688" u="1"/>
        <n v="0.19631007779532067" u="1"/>
        <n v="0.15489389262607134" u="1"/>
        <n v="0.19637772593740943" u="1"/>
        <n v="0.15415706596787021" u="1"/>
        <n v="0.15240890492869319" u="1"/>
        <n v="0.19384069075207383" u="1"/>
        <n v="0.54440054420852224" u="1"/>
        <n v="0.19638183150581426" u="1"/>
        <n v="0.11117165866008301" u="1"/>
        <n v="0.11007711555222596" u="1"/>
        <n v="0.11008551441522364" u="1"/>
        <n v="0.11045478186098623" u="1"/>
        <n v="0.11330258783707346" u="1"/>
        <n v="0.53621780716638956" u="1"/>
        <n v="0.53685505097846087" u="1"/>
        <n v="0.15403027273025396" u="1"/>
        <n v="0.54292693979698947" u="1"/>
        <n v="0.54289611992695763" u="1"/>
        <n v="0.11004411842082626" u="1"/>
        <n v="0.19550598375347808" u="1"/>
        <n v="0.53838267367444181" u="1"/>
        <n v="0.54253809686960675" u="1"/>
        <n v="0.11205656894478977" u="1"/>
        <n v="0.11199304233122102" u="1"/>
        <n v="0.11212195271794825" u="1"/>
        <n v="0.15381909897315543" u="1"/>
        <n v="0.11201084862901374" u="1"/>
        <n v="0.54069979189324935" u="1"/>
        <n v="0.15490788758794521" u="1"/>
        <n v="0.53052232141483968" u="1"/>
        <n v="0.15577927316531145" u="1"/>
        <n v="0.11206571007328658" u="1"/>
        <n v="0.53853604389492993" u="1"/>
        <n v="0.15409817258020103" u="1"/>
        <n v="0.15490071253481777" u="1"/>
        <n v="0.15573570606773046" u="1"/>
        <n v="0.53672986914654452" u="1"/>
        <n v="0.19124966781877675" u="1"/>
        <n v="0.11192769962133796" u="1"/>
        <n v="0.19459821634071381" u="1"/>
        <n v="0.19621779960106481" u="1"/>
        <n v="0.11204384789970265" u="1"/>
        <n v="0.15574206156442569" u="1"/>
        <n v="0.1970912422841484" u="1"/>
        <n v="0.53841995585887481" u="1"/>
        <n v="0.54290174764208265" u="1"/>
        <n v="0.15171464661857761" u="1"/>
        <n v="0.15442313288647563" u="1"/>
        <n v="0.53682114342036014" u="1"/>
        <n v="0.1116745374215285" u="1"/>
        <n v="0.11202025257444256" u="1"/>
        <n v="0.1949329315274155" u="1"/>
        <n v="0.11199169238122834" u="1"/>
        <n v="0.1531956179192521" u="1"/>
        <n v="0.15482874869994412" u="1"/>
        <n v="0.19125073779610777" u="1"/>
        <n v="0.19581816538466043" u="1"/>
        <n v="0.19123988122876823" u="1"/>
        <n v="0.1912418636403799" u="1"/>
        <n v="0.11242322932619314" u="1"/>
        <n v="0.19548737066475586" u="1"/>
        <n v="0.15577765835862581" u="1"/>
        <n v="0.19551074268803881" u="1"/>
        <n v="0.1957864134051121" u="1"/>
        <n v="0.53771485382916129" u="1"/>
        <n v="0.11198136448975161" u="1"/>
        <n v="0.53683257633573245" u="1"/>
        <n v="0.15908384846393847" u="1"/>
        <n v="0.53597909061403337" u="1"/>
        <n v="0.15444627418784487" u="1"/>
        <n v="0.53794440242945096" u="1"/>
        <n v="0.19124938459148721" u="1"/>
        <n v="0.1964322422002184" u="1"/>
        <n v="0.15573680799167908" u="1"/>
        <n v="0.53680869155026478" u="1"/>
        <n v="0.11008634048564837" u="1"/>
        <n v="0.53762766318978372" u="1"/>
        <n v="0.1100963038438602" u="1"/>
        <n v="0.19627411532455477" u="1"/>
        <n v="0.19543587189959497" u="1"/>
      </sharedItems>
    </cacheField>
  </cacheFields>
  <extLst>
    <ext xmlns:x14="http://schemas.microsoft.com/office/spreadsheetml/2009/9/main" uri="{725AE2AE-9491-48be-B2B4-4EB974FC3084}">
      <x14:pivotCacheDefinition pivotCacheId="6737919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n v="32269.5"/>
    <x v="0"/>
  </r>
  <r>
    <x v="1"/>
    <x v="1"/>
    <n v="6560.72"/>
    <x v="1"/>
  </r>
  <r>
    <x v="2"/>
    <x v="2"/>
    <n v="11502.62"/>
    <x v="2"/>
  </r>
  <r>
    <x v="3"/>
    <x v="2"/>
    <n v="9149.9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29BBDD-EB2D-43B2-9217-B7A3884271A2}" name="PivotTable17" cacheId="20" dataPosition="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4">
  <location ref="A8:D13" firstHeaderRow="0" firstDataRow="1" firstDataCol="1"/>
  <pivotFields count="4">
    <pivotField axis="axisRow" showAll="0">
      <items count="5">
        <item x="3"/>
        <item x="0"/>
        <item x="1"/>
        <item x="2"/>
        <item t="default"/>
      </items>
    </pivotField>
    <pivotField dataField="1" numFmtId="9" showAll="0">
      <items count="4">
        <item x="1"/>
        <item x="2"/>
        <item x="0"/>
        <item t="default"/>
      </items>
    </pivotField>
    <pivotField dataField="1" numFmtId="44" showAll="0"/>
    <pivotField dataField="1" numFmtId="166" showAll="0">
      <items count="101">
        <item m="1" x="38"/>
        <item m="1" x="29"/>
        <item m="1" x="8"/>
        <item m="1" x="30"/>
        <item m="1" x="95"/>
        <item m="1" x="15"/>
        <item m="1" x="97"/>
        <item x="1"/>
        <item m="1" x="31"/>
        <item m="1" x="28"/>
        <item m="1" x="69"/>
        <item m="1" x="58"/>
        <item m="1" x="18"/>
        <item m="1" x="85"/>
        <item m="1" x="72"/>
        <item m="1" x="43"/>
        <item m="1" x="46"/>
        <item m="1" x="70"/>
        <item m="1" x="61"/>
        <item m="1" x="42"/>
        <item m="1" x="51"/>
        <item m="1" x="44"/>
        <item m="1" x="79"/>
        <item m="1" x="12"/>
        <item m="1" x="32"/>
        <item m="1" x="66"/>
        <item m="1" x="24"/>
        <item m="1" x="73"/>
        <item m="1" x="45"/>
        <item x="3"/>
        <item m="1" x="35"/>
        <item m="1" x="53"/>
        <item m="1" x="23"/>
        <item m="1" x="67"/>
        <item m="1" x="89"/>
        <item m="1" x="9"/>
        <item m="1" x="74"/>
        <item m="1" x="10"/>
        <item m="1" x="21"/>
        <item m="1" x="54"/>
        <item m="1" x="4"/>
        <item m="1" x="48"/>
        <item m="1" x="17"/>
        <item m="1" x="55"/>
        <item m="1" x="93"/>
        <item m="1" x="62"/>
        <item m="1" x="81"/>
        <item m="1" x="50"/>
        <item m="1" x="11"/>
        <item m="1" x="87"/>
        <item m="1" x="77"/>
        <item m="1" x="78"/>
        <item m="1" x="91"/>
        <item m="1" x="57"/>
        <item m="1" x="75"/>
        <item m="1" x="14"/>
        <item x="2"/>
        <item m="1" x="25"/>
        <item m="1" x="59"/>
        <item m="1" x="71"/>
        <item m="1" x="99"/>
        <item m="1" x="5"/>
        <item m="1" x="80"/>
        <item m="1" x="39"/>
        <item m="1" x="82"/>
        <item m="1" x="83"/>
        <item m="1" x="76"/>
        <item m="1" x="60"/>
        <item m="1" x="19"/>
        <item m="1" x="98"/>
        <item m="1" x="20"/>
        <item m="1" x="22"/>
        <item m="1" x="27"/>
        <item m="1" x="92"/>
        <item m="1" x="63"/>
        <item m="1" x="49"/>
        <item m="1" x="88"/>
        <item m="1" x="33"/>
        <item m="1" x="56"/>
        <item m="1" x="94"/>
        <item m="1" x="68"/>
        <item m="1" x="86"/>
        <item m="1" x="34"/>
        <item m="1" x="96"/>
        <item m="1" x="84"/>
        <item m="1" x="90"/>
        <item m="1" x="40"/>
        <item m="1" x="64"/>
        <item m="1" x="52"/>
        <item m="1" x="6"/>
        <item m="1" x="47"/>
        <item x="0"/>
        <item m="1" x="41"/>
        <item m="1" x="13"/>
        <item m="1" x="37"/>
        <item m="1" x="65"/>
        <item m="1" x="16"/>
        <item m="1" x="7"/>
        <item m="1" x="36"/>
        <item m="1" x="26"/>
        <item t="default"/>
      </items>
    </pivotField>
  </pivotFields>
  <rowFields count="1">
    <field x="0"/>
  </rowFields>
  <rowItems count="5">
    <i>
      <x/>
    </i>
    <i>
      <x v="1"/>
    </i>
    <i>
      <x v="2"/>
    </i>
    <i>
      <x v="3"/>
    </i>
    <i t="grand">
      <x/>
    </i>
  </rowItems>
  <colFields count="1">
    <field x="-2"/>
  </colFields>
  <colItems count="3">
    <i>
      <x/>
    </i>
    <i i="1">
      <x v="1"/>
    </i>
    <i i="2">
      <x v="2"/>
    </i>
  </colItems>
  <dataFields count="3">
    <dataField name="Sum of Preference" fld="1" baseField="0" baseItem="0" numFmtId="10"/>
    <dataField name="Sum of Equity" fld="2" baseField="0" baseItem="0" numFmtId="167"/>
    <dataField name="Sum of Allocation" fld="3" baseField="0" baseItem="0" numFmtId="10"/>
  </dataFields>
  <formats count="10">
    <format dxfId="50">
      <pivotArea collapsedLevelsAreSubtotals="1" fieldPosition="0">
        <references count="1">
          <reference field="0" count="1">
            <x v="0"/>
          </reference>
        </references>
      </pivotArea>
    </format>
    <format dxfId="49">
      <pivotArea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outline="0" fieldPosition="0">
        <references count="1">
          <reference field="4294967294" count="1">
            <x v="2"/>
          </reference>
        </references>
      </pivotArea>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fieldPosition="0">
        <references count="1">
          <reference field="0" count="0"/>
        </references>
      </pivotArea>
    </format>
    <format dxfId="42">
      <pivotArea dataOnly="0" labelOnly="1" grandRow="1" outline="0" fieldPosition="0"/>
    </format>
    <format dxfId="41">
      <pivotArea dataOnly="0" labelOnly="1" outline="0" fieldPosition="0">
        <references count="1">
          <reference field="4294967294" count="3">
            <x v="0"/>
            <x v="1"/>
            <x v="2"/>
          </reference>
        </references>
      </pivotArea>
    </format>
  </formats>
  <chartFormats count="15">
    <chartFormat chart="41" format="18" series="1">
      <pivotArea type="data" outline="0" fieldPosition="0">
        <references count="1">
          <reference field="4294967294" count="1" selected="0">
            <x v="0"/>
          </reference>
        </references>
      </pivotArea>
    </chartFormat>
    <chartFormat chart="41" format="19">
      <pivotArea type="data" outline="0" fieldPosition="0">
        <references count="2">
          <reference field="4294967294" count="1" selected="0">
            <x v="0"/>
          </reference>
          <reference field="0" count="1" selected="0">
            <x v="0"/>
          </reference>
        </references>
      </pivotArea>
    </chartFormat>
    <chartFormat chart="41" format="20">
      <pivotArea type="data" outline="0" fieldPosition="0">
        <references count="2">
          <reference field="4294967294" count="1" selected="0">
            <x v="0"/>
          </reference>
          <reference field="0" count="1" selected="0">
            <x v="1"/>
          </reference>
        </references>
      </pivotArea>
    </chartFormat>
    <chartFormat chart="41" format="21">
      <pivotArea type="data" outline="0" fieldPosition="0">
        <references count="2">
          <reference field="4294967294" count="1" selected="0">
            <x v="0"/>
          </reference>
          <reference field="0" count="1" selected="0">
            <x v="2"/>
          </reference>
        </references>
      </pivotArea>
    </chartFormat>
    <chartFormat chart="41" format="22">
      <pivotArea type="data" outline="0" fieldPosition="0">
        <references count="2">
          <reference field="4294967294" count="1" selected="0">
            <x v="0"/>
          </reference>
          <reference field="0" count="1" selected="0">
            <x v="3"/>
          </reference>
        </references>
      </pivotArea>
    </chartFormat>
    <chartFormat chart="41" format="23" series="1">
      <pivotArea type="data" outline="0" fieldPosition="0">
        <references count="1">
          <reference field="4294967294" count="1" selected="0">
            <x v="1"/>
          </reference>
        </references>
      </pivotArea>
    </chartFormat>
    <chartFormat chart="41" format="24">
      <pivotArea type="data" outline="0" fieldPosition="0">
        <references count="2">
          <reference field="4294967294" count="1" selected="0">
            <x v="1"/>
          </reference>
          <reference field="0" count="1" selected="0">
            <x v="0"/>
          </reference>
        </references>
      </pivotArea>
    </chartFormat>
    <chartFormat chart="41" format="25">
      <pivotArea type="data" outline="0" fieldPosition="0">
        <references count="2">
          <reference field="4294967294" count="1" selected="0">
            <x v="1"/>
          </reference>
          <reference field="0" count="1" selected="0">
            <x v="1"/>
          </reference>
        </references>
      </pivotArea>
    </chartFormat>
    <chartFormat chart="41" format="26">
      <pivotArea type="data" outline="0" fieldPosition="0">
        <references count="2">
          <reference field="4294967294" count="1" selected="0">
            <x v="1"/>
          </reference>
          <reference field="0" count="1" selected="0">
            <x v="2"/>
          </reference>
        </references>
      </pivotArea>
    </chartFormat>
    <chartFormat chart="41" format="27">
      <pivotArea type="data" outline="0" fieldPosition="0">
        <references count="2">
          <reference field="4294967294" count="1" selected="0">
            <x v="1"/>
          </reference>
          <reference field="0" count="1" selected="0">
            <x v="3"/>
          </reference>
        </references>
      </pivotArea>
    </chartFormat>
    <chartFormat chart="41" format="28" series="1">
      <pivotArea type="data" outline="0" fieldPosition="0">
        <references count="1">
          <reference field="4294967294" count="1" selected="0">
            <x v="2"/>
          </reference>
        </references>
      </pivotArea>
    </chartFormat>
    <chartFormat chart="41" format="29">
      <pivotArea type="data" outline="0" fieldPosition="0">
        <references count="2">
          <reference field="4294967294" count="1" selected="0">
            <x v="2"/>
          </reference>
          <reference field="0" count="1" selected="0">
            <x v="0"/>
          </reference>
        </references>
      </pivotArea>
    </chartFormat>
    <chartFormat chart="41" format="30">
      <pivotArea type="data" outline="0" fieldPosition="0">
        <references count="2">
          <reference field="4294967294" count="1" selected="0">
            <x v="2"/>
          </reference>
          <reference field="0" count="1" selected="0">
            <x v="1"/>
          </reference>
        </references>
      </pivotArea>
    </chartFormat>
    <chartFormat chart="41" format="31">
      <pivotArea type="data" outline="0" fieldPosition="0">
        <references count="2">
          <reference field="4294967294" count="1" selected="0">
            <x v="2"/>
          </reference>
          <reference field="0" count="1" selected="0">
            <x v="2"/>
          </reference>
        </references>
      </pivotArea>
    </chartFormat>
    <chartFormat chart="41" format="32">
      <pivotArea type="data" outline="0" fieldPosition="0">
        <references count="2">
          <reference field="4294967294" count="1" selected="0">
            <x v="2"/>
          </reference>
          <reference field="0" count="1" selected="0">
            <x v="3"/>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6" xr16:uid="{60B9C042-EA46-4EAA-91B0-53D7200DBCBF}"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DD965698-73C1-4263-9CD5-292B9EDAC4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1" xr16:uid="{C8992992-C73E-47CE-9AFD-DE220DECFA7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7" xr16:uid="{1B9B5AE6-5F6A-414A-9F1F-3CC973A37539}"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2" xr16:uid="{CCC2B3B9-A624-44F3-B35F-CC364A740FFE}"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18" xr16:uid="{E7A7E243-DFDC-4AC9-95B5-64CC2939DCB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8" xr16:uid="{35B32C49-E860-4B83-8E40-7740B6DFC2CD}"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connectionId="14" xr16:uid="{89B35618-AB23-4C3A-A2A6-9A8BE675860A}"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9" connectionId="9" xr16:uid="{5DF5338C-419A-4EDD-9F15-8BF20C22A889}"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15" xr16:uid="{28F386DD-2344-4EBE-A061-2705616C4CF5}"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1" connectionId="7" xr16:uid="{31D0BB5E-18F5-4DB7-8D30-AC91188492AC}"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 connectionId="13" xr16:uid="{3D76ACDB-7730-40C1-8DFB-972B2C73EC7F}"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6" xr16:uid="{EC07A374-48D4-46CA-9EDC-F4CC3F05BF8F}"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8" connectionId="1" xr16:uid="{BADA0412-E8B0-4AF0-A4A7-2172BFD1871C}"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9" connectionId="2" xr16:uid="{E6A0FC4D-4931-4178-BBC4-222F471C680E}"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0" connectionId="4" xr16:uid="{2A0B47C9-6EFA-4C46-80B5-FE883E2A1CE0}"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1" connectionId="19" xr16:uid="{ECFBC37D-9CF5-4650-851E-8052DE3A349F}"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connectionId="5" xr16:uid="{63F46365-A2DC-49E6-8FA5-B776688E51F7}"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3" connectionId="3" xr16:uid="{3CAD59C0-DFC0-4FBC-826D-C9244AAC9233}"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41">
  <rv s="0">
    <v>https://www.bing.com/financeapi/forcetrigger?t=a3oxnm&amp;q=NASDAQ+NMS+COMPOSITE+INDEX&amp;form=skydnc</v>
    <v>Learn more on Bing</v>
  </rv>
  <rv s="1">
    <v>en-US</v>
    <v>a3oxnm</v>
    <v>268435456</v>
    <v>268435460</v>
    <v>1</v>
    <v>Powered by Refinitiv</v>
    <v>0</v>
    <v>NASDAQ NMS COMPOSITE INDEX</v>
    <v>2</v>
    <v>3</v>
    <v>Finance</v>
    <v>4</v>
    <v>10839.928</v>
    <v>6631.42</v>
    <v>-134.17500000000001</v>
    <v>-1.2735000000000002E-2</v>
    <v>US</v>
    <v>10523.64</v>
    <v>Index</v>
    <v>0</v>
    <v>10397.874</v>
    <v>NASDAQ NMS COMPOSITE INDEX</v>
    <v>10509.196</v>
    <v>10536.267</v>
    <v>10402.092000000001</v>
    <v>COMP</v>
    <v>NASDAQ NMS COMPOSITE INDEX</v>
  </rv>
  <rv s="2">
    <v>1</v>
  </rv>
  <rv s="0">
    <v>http://en.wikipedia.org/wiki/Public_domain</v>
    <v>Public domain</v>
  </rv>
  <rv s="0">
    <v>http://en.wikipedia.org/wiki/Tesla,_Inc.</v>
    <v>Wikipedia</v>
  </rv>
  <rv s="3">
    <v>3</v>
    <v>4</v>
  </rv>
  <rv s="4">
    <v>https://www.bing.com/th?id=AMMS_8e31d52bb9ea27bdda26200517d4b1d1&amp;qlt=95</v>
    <v>5</v>
    <v>https://www.bing.com/images/search?form=xlimg&amp;q=tesla+motors</v>
    <v>Image of TESLA, INC.</v>
  </rv>
  <rv s="0">
    <v>https://www.bing.com/financeapi/forcetrigger?t=a24kar&amp;q=XNAS%3aTSLA&amp;form=skydnc</v>
    <v>Learn more on Bing</v>
  </rv>
  <rv s="5">
    <v>en-US</v>
    <v>a24kar</v>
    <v>268435456</v>
    <v>268435457</v>
    <v>1</v>
    <v>Powered by Refinitiv</v>
    <v>5</v>
    <v>TESLA, INC. (XNAS:TSLA)</v>
    <v>7</v>
    <v>8</v>
    <v>Finance</v>
    <v>9</v>
    <v>1794.99</v>
    <v>211</v>
    <v>1.2983</v>
    <v>-63.11</v>
    <v>-2.398E-3</v>
    <v>-4.0991E-2</v>
    <v>-3.54</v>
    <v>USD</v>
    <v>Tesla, Inc., formerly Tesla Motors, Inc., designs, develops, manufactures and sells fully electric vehicles, and energy storage systems, as well as installs, operates and maintains solar and energy storage products. The Company operates through two segments: Automotive, and Energy generation and storage. The Automotive segment includes the design, development, manufacturing, and sales of electric vehicles. The Energy generation and storage segment includes the design, manufacture, installation, and sale or lease of stationary energy storage products and solar energy systems to residential and commercial customers, or sale of electricity generated by its solar energy systems to customers. The Company produces and distributes two fully electric vehicles, the Model S sedan and the Model X sport utility vehicle (SUV). It also offers Model 3, a sedan designed for the mass market. It develops energy storage products for use in homes, commercial facilities and utility sites.</v>
    <v>48016</v>
    <v>Nasdaq Stock Market</v>
    <v>XNAS</v>
    <v>XNAS</v>
    <v>3500 Deer Creek Rd, PALO ALTO, CA, 94304-1317 US</v>
    <v>1564.7</v>
    <v>6</v>
    <v>Automobiles &amp; Auto Parts</v>
    <v>Stock</v>
    <v>44040.9999885875</v>
    <v>7</v>
    <v>1474.42</v>
    <v>285397300000</v>
    <v>TESLA, INC.</v>
    <v>TESLA, INC.</v>
    <v>1504</v>
    <v>759.77710000000002</v>
    <v>1539.6</v>
    <v>1476.49</v>
    <v>1472.95</v>
    <v>185371100</v>
    <v>TSLA</v>
    <v>TESLA, INC. (XNAS:TSLA)</v>
    <v>15808700</v>
    <v>16054407</v>
    <v>2003</v>
  </rv>
  <rv s="2">
    <v>8</v>
  </rv>
  <rv s="0">
    <v>http://en.wikipedia.org/wiki/NextEra_Energy</v>
    <v>Wikipedia</v>
  </rv>
  <rv s="3">
    <v>3</v>
    <v>10</v>
  </rv>
  <rv s="4">
    <v>https://www.bing.com/th?id=AMMS_a617a201cd25debc37efa47f02bab828&amp;qlt=95</v>
    <v>11</v>
    <v>https://www.bing.com/images/search?form=xlimg&amp;q=nextera+energy</v>
    <v>Image of NEXTERA ENERGY, INC.</v>
  </rv>
  <rv s="0">
    <v>https://www.bing.com/financeapi/forcetrigger?t=a1ye2w&amp;q=XNYS%3aNEE&amp;form=skydnc</v>
    <v>Learn more on Bing</v>
  </rv>
  <rv s="5">
    <v>en-US</v>
    <v>a1ye2w</v>
    <v>268435456</v>
    <v>268435457</v>
    <v>1</v>
    <v>Powered by Refinitiv</v>
    <v>5</v>
    <v>NEXTERA ENERGY, INC. (XNYS:NEE)</v>
    <v>7</v>
    <v>8</v>
    <v>Finance</v>
    <v>9</v>
    <v>285.63</v>
    <v>174.8</v>
    <v>0.24840000000000001</v>
    <v>2.41</v>
    <v>1.057E-2</v>
    <v>8.6809999999999995E-3</v>
    <v>2.96</v>
    <v>USD</v>
    <v>NextEra Energy, Inc. (NEE) is a holding company. The Company is an electric power companies in North America and, through its subsidiary NextEra Energy Resources, LLC (NEER) and its affiliated entities, is the generator of renewable energy from the wind and sun. NEE also owns and/or operates generation, transmission and distribution facilities to support its services to retail and wholesale customers, and has investments in gas infrastructure assets. Its segments include FPL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acquisition and operation of long-term contracted assets with a focus on renewable projects. NEER owns, develops, constructs, manages and operates electric generation facilities in wholesale energy markets.</v>
    <v>8900</v>
    <v>New York Stock Exchange</v>
    <v>XNYS</v>
    <v>XNYS</v>
    <v>700 Universe Blvd, JUNO BEACH, FL, 33408-2657 US</v>
    <v>283.28500000000003</v>
    <v>12</v>
    <v>Electrical Utilities &amp; IPPs</v>
    <v>Stock</v>
    <v>44040.958333356248</v>
    <v>13</v>
    <v>276.63</v>
    <v>135940900000</v>
    <v>NEXTERA ENERGY, INC.</v>
    <v>NEXTERA ENERGY, INC.</v>
    <v>277.2</v>
    <v>38.198799999999999</v>
    <v>277.63</v>
    <v>280.04000000000002</v>
    <v>283</v>
    <v>489647800</v>
    <v>NEE</v>
    <v>NEXTERA ENERGY, INC. (XNYS:NEE)</v>
    <v>1636904</v>
    <v>2037477</v>
    <v>1984</v>
  </rv>
  <rv s="2">
    <v>14</v>
  </rv>
  <rv s="0">
    <v>http://zh.wikipedia.org/wiki/Facebook</v>
    <v>Wikipedia</v>
  </rv>
  <rv s="3">
    <v>3</v>
    <v>16</v>
  </rv>
  <rv s="4">
    <v>https://www.bing.com/th?id=AMMS_8ddf76a14a2e3ad3ba62b46d49a75a74&amp;qlt=95</v>
    <v>17</v>
    <v>https://www.bing.com/images/search?form=xlimg&amp;q=facebook</v>
    <v>Image of FACEBOOK, INC.</v>
  </rv>
  <rv s="0">
    <v>https://www.bing.com/financeapi/forcetrigger?t=a1slm7&amp;q=XNAS%3aFB&amp;form=skydnc</v>
    <v>Learn more on Bing</v>
  </rv>
  <rv s="5">
    <v>en-US</v>
    <v>a1slm7</v>
    <v>268435456</v>
    <v>268435457</v>
    <v>1</v>
    <v>Powered by Refinitiv</v>
    <v>5</v>
    <v>FACEBOOK, INC. (XNAS:FB)</v>
    <v>7</v>
    <v>8</v>
    <v>Finance</v>
    <v>9</v>
    <v>250.15</v>
    <v>137.10059999999999</v>
    <v>1.1842999999999999</v>
    <v>-3.38</v>
    <v>3.8240000000000001E-3</v>
    <v>-1.4475E-2</v>
    <v>0.88</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48268</v>
    <v>Nasdaq Stock Market</v>
    <v>XNAS</v>
    <v>XNAS</v>
    <v>1601 Willow Rd, MENLO PARK, CA, 94025-1452 US</v>
    <v>234.96</v>
    <v>18</v>
    <v>Software &amp; IT Services</v>
    <v>Stock</v>
    <v>44040.999938205467</v>
    <v>19</v>
    <v>229.83</v>
    <v>665786900000</v>
    <v>FACEBOOK, INC.</v>
    <v>FACEBOOK, INC.</v>
    <v>234.63</v>
    <v>33.1066</v>
    <v>233.5</v>
    <v>230.12</v>
    <v>231</v>
    <v>2851336000</v>
    <v>FB</v>
    <v>FACEBOOK, INC. (XNAS:FB)</v>
    <v>14170112</v>
    <v>26701063</v>
    <v>2004</v>
  </rv>
  <rv s="2">
    <v>20</v>
  </rv>
  <rv s="0">
    <v>http://en.wikipedia.org/wiki/Chevron_Corporation</v>
    <v>Wikipedia</v>
  </rv>
  <rv s="3">
    <v>3</v>
    <v>22</v>
  </rv>
  <rv s="4">
    <v>https://www.bing.com/th?id=AMMS_2d49dc55c1faf81186e7649c0d153e02&amp;qlt=95</v>
    <v>23</v>
    <v>https://www.bing.com/images/search?form=xlimg&amp;q=chevron+corporation</v>
    <v>Image of CHEVRON CORPORATION</v>
  </rv>
  <rv s="0">
    <v>https://www.bing.com/financeapi/forcetrigger?t=a1qlz2&amp;q=XNYS%3aCVX&amp;form=skydnc</v>
    <v>Learn more on Bing</v>
  </rv>
  <rv s="5">
    <v>en-US</v>
    <v>a1qlz2</v>
    <v>268435456</v>
    <v>268435457</v>
    <v>1</v>
    <v>Powered by Refinitiv</v>
    <v>5</v>
    <v>CHEVRON CORPORATION (XNYS:CVX)</v>
    <v>7</v>
    <v>8</v>
    <v>Finance</v>
    <v>9</v>
    <v>125.27</v>
    <v>51.6</v>
    <v>1.3042</v>
    <v>-1.93</v>
    <v>1.01E-3</v>
    <v>-2.1198999999999999E-2</v>
    <v>0.09</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48200</v>
    <v>New York Stock Exchange</v>
    <v>XNYS</v>
    <v>XNYS</v>
    <v>6001 Bollinger Canyon Rd, SAN RAMON, CA, 94583-2324 US</v>
    <v>91.17</v>
    <v>24</v>
    <v>Oil &amp; Gas</v>
    <v>Stock</v>
    <v>44040.999974224222</v>
    <v>25</v>
    <v>88.77</v>
    <v>169969700000</v>
    <v>CHEVRON CORPORATION</v>
    <v>CHEVRON CORPORATION</v>
    <v>90.47</v>
    <v>44.159100000000002</v>
    <v>91.04</v>
    <v>89.11</v>
    <v>89.2</v>
    <v>1866979000</v>
    <v>CVX</v>
    <v>CHEVRON CORPORATION (XNYS:CVX)</v>
    <v>6787341</v>
    <v>7870179</v>
    <v>1926</v>
  </rv>
  <rv s="2">
    <v>26</v>
  </rv>
  <rv s="0">
    <v>http://creativecommons.org/licenses/by-sa/3.0/</v>
    <v>CC-BY-SA-3.0</v>
  </rv>
  <rv s="0">
    <v>http://sv.wikipedia.org/wiki/Shell</v>
    <v>Wikipedia</v>
  </rv>
  <rv s="3">
    <v>28</v>
    <v>29</v>
  </rv>
  <rv s="4">
    <v>https://www.bing.com/th?id=AMMS_982b67ee8686548274ef55ed627e1e1f&amp;qlt=95</v>
    <v>30</v>
    <v>https://www.bing.com/images/search?form=xlimg&amp;q=royal+dutch+shell</v>
    <v>Image of ROYAL DUTCH SHELL PLC</v>
  </rv>
  <rv s="0">
    <v>https://www.bing.com/financeapi/forcetrigger?t=a21t7w&amp;q=XNYS%3aRDS.B&amp;form=skydnc</v>
    <v>Learn more on Bing</v>
  </rv>
  <rv s="5">
    <v>en-US</v>
    <v>a21t7w</v>
    <v>268435456</v>
    <v>268435457</v>
    <v>1</v>
    <v>Powered by Refinitiv</v>
    <v>5</v>
    <v>ROYAL DUTCH SHELL PLC (XNYS:RDS.B)</v>
    <v>7</v>
    <v>8</v>
    <v>Finance</v>
    <v>9</v>
    <v>64.23</v>
    <v>19.190000000000001</v>
    <v>0.81630000000000003</v>
    <v>-0.35</v>
    <v>0</v>
    <v>-1.1377999999999999E-2</v>
    <v>0</v>
    <v>USD</v>
    <v>The Royal Dutch Shell plc is a company based in the Netherlands that explores for crude oil and natural gas around the world, both in conventional fields and from sources, such as tight rock, shale and coal formations. Its segments include Integrated Gas, Upstream, Downstream and Corporate. The Integrated Gas segment is engaged in the liquefaction and transportation of gas and the conversion of natural gas to liquids to provide fuels and other products, as well as projects with an integrated activity, ranging from producing to commercializing gas. The Upstream segment includes the operations of Upstream, which is engaged in the exploration for and extraction of crude oil, natural gas and natural gas liquids, and the marketing and transportation of oil and gas, and Oil Sands, which is engaged in the extraction of bitumen from mined oil sands and conversion into synthetic crude oil. The Downstream segment is engaged in oil products and chemicals manufacturing, and marketing activities.</v>
    <v>83000</v>
    <v>New York Stock Exchange</v>
    <v>XNYS</v>
    <v>XNYS</v>
    <v>Carel van Bylandtlaan 30, 'S-GRAVENHAGE, ZUID-HOLLAND, 2596 HR NL</v>
    <v>30.835000000000001</v>
    <v>31</v>
    <v>Oil &amp; Gas</v>
    <v>Stock</v>
    <v>44040.992247985938</v>
    <v>32</v>
    <v>30.35</v>
    <v>121543000000</v>
    <v>ROYAL DUTCH SHELL PLC</v>
    <v>ROYAL DUTCH SHELL PLC</v>
    <v>30.53</v>
    <v>0</v>
    <v>30.76</v>
    <v>30.41</v>
    <v>30.41</v>
    <v>3903712000</v>
    <v>RDS.B</v>
    <v>ROYAL DUTCH SHELL PLC (XNYS:RDS.B)</v>
    <v>4065795</v>
    <v>3496758</v>
    <v>2002</v>
  </rv>
  <rv s="2">
    <v>33</v>
  </rv>
  <rv s="0">
    <v>http://zh.wikipedia.org/wiki/联合技术公司</v>
    <v>Wikipedia</v>
  </rv>
  <rv s="3">
    <v>3</v>
    <v>35</v>
  </rv>
  <rv s="4">
    <v>https://www.bing.com/th?id=AMMS_816809e11c76850fe547473b3e1969bc&amp;qlt=95</v>
    <v>36</v>
    <v>https://www.bing.com/images/search?form=xlimg&amp;q=united+technologies+corporation</v>
    <v>Image of RAYTHEON TECHNOLOGIES CORPORATION</v>
  </rv>
  <rv s="0">
    <v>https://www.bing.com/financeapi/forcetrigger?t=a25552&amp;q=XNYS%3aRTX&amp;form=skydnc</v>
    <v>Learn more on Bing</v>
  </rv>
  <rv s="5">
    <v>en-US</v>
    <v>a25552</v>
    <v>268435456</v>
    <v>268435457</v>
    <v>1</v>
    <v>Powered by Refinitiv</v>
    <v>5</v>
    <v>RAYTHEON TECHNOLOGIES CORPORATION (XNYS:RTX)</v>
    <v>7</v>
    <v>8</v>
    <v>Finance</v>
    <v>9</v>
    <v>93.447500000000005</v>
    <v>40.709000000000003</v>
    <v>1.3828</v>
    <v>-0.09</v>
    <v>3.279E-4</v>
    <v>-1.4729999999999999E-3</v>
    <v>0.02</v>
    <v>USD</v>
    <v>Raytheon Technologies Corp, formerly United Technologies Corporation, is engaged in providing technology products and services to the building systems and aerospace industries. The Company operates through segments such as Pratt &amp; Whitney and Collins Aerospace Systems. The Pratt &amp; Whitney segment supplies aircraft engines for the commercial, military, business jet and general aviation markets. Pratt &amp; Whitney segment provides fleet management services and aftermarket maintenance, repair and overhaul services. The Collins Aerospace Systems segment provides aerospace products and aftermarket service solutions for aircraft manufacturers, airlines, regional, business and general aviation markets, military, space and undersea operations.</v>
    <v>243200</v>
    <v>New York Stock Exchange</v>
    <v>XNYS</v>
    <v>XNYS</v>
    <v>870 WINTER STREET, WALTHAM, MA, 02451 US</v>
    <v>61.815100000000001</v>
    <v>37</v>
    <v>Aerospace &amp; Defense</v>
    <v>Stock</v>
    <v>44040.999965312498</v>
    <v>38</v>
    <v>59.75</v>
    <v>92628880000</v>
    <v>RAYTHEON TECHNOLOGIES CORPORATION</v>
    <v>RAYTHEON TECHNOLOGIES CORPORATION</v>
    <v>61.74</v>
    <v>12.8416</v>
    <v>61.09</v>
    <v>61</v>
    <v>61.02</v>
    <v>1516269000</v>
    <v>RTX</v>
    <v>RAYTHEON TECHNOLOGIES CORPORATION (XNYS:RTX)</v>
    <v>13111772</v>
    <v>8687812</v>
    <v>1934</v>
  </rv>
  <rv s="2">
    <v>39</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
    <k n="%cvi" t="r"/>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27">
      <v t="s">%EntityServiceId</v>
      <v t="s">_Format</v>
      <v t="s">%EntitySubDomainId</v>
      <v t="s">%EntityCulture</v>
      <v t="s">%IsRefreshable</v>
      <v t="s">%EntityId</v>
      <v t="s">_Icon</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v t="s">_Display</v>
    </a>
    <a count="47">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spbArrays>
  <spbData count="10">
    <spb s="0">
      <v>0</v>
    </spb>
    <spb s="1">
      <v>0</v>
      <v>0</v>
      <v>0</v>
    </spb>
    <spb s="2">
      <v>1</v>
      <v>1</v>
    </spb>
    <spb s="3">
      <v>1</v>
      <v>1</v>
      <v>2</v>
      <v>1</v>
      <v>1</v>
      <v>1</v>
      <v>3</v>
      <v>1</v>
      <v>1</v>
      <v>1</v>
      <v>4</v>
      <v>5</v>
      <v>5</v>
    </spb>
    <spb s="4">
      <v>from previous close</v>
      <v>from previous close</v>
    </spb>
    <spb s="0">
      <v>1</v>
    </spb>
    <spb s="5">
      <v>0</v>
      <v>0</v>
    </spb>
    <spb s="6">
      <v>6</v>
      <v>1</v>
      <v>1</v>
      <v>1</v>
    </spb>
    <spb s="7">
      <v>1</v>
      <v>6</v>
      <v>6</v>
      <v>1</v>
      <v>2</v>
      <v>1</v>
      <v>7</v>
      <v>1</v>
      <v>1</v>
      <v>8</v>
      <v>8</v>
      <v>3</v>
      <v>9</v>
      <v>1</v>
      <v>1</v>
      <v>1</v>
      <v>8</v>
      <v>4</v>
      <v>10</v>
      <v>5</v>
      <v>11</v>
      <v>5</v>
      <v>8</v>
      <v>1</v>
      <v>1</v>
      <v>3</v>
    </spb>
    <spb s="8">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9">
  <s>
    <k n="^Order" t="spba"/>
  </s>
  <s>
    <k n="ShowInCardView" t="b"/>
    <k n="ShowInDotNotation" t="b"/>
    <k n="ShowInAutoComplete" t="b"/>
  </s>
  <s>
    <k n="UniqueName" t="spb"/>
    <k n="%ProviderInfo" t="spb"/>
  </s>
  <s>
    <k n="Low" t="i"/>
    <k n="High" t="i"/>
    <k n="Name" t="i"/>
    <k n="Open" t="i"/>
    <k n="Price" t="i"/>
    <k n="Change" t="i"/>
    <k n="Change (%)" t="i"/>
    <k n="52 week low" t="i"/>
    <k n="52 week high" t="i"/>
    <k n="Previous close" t="i"/>
    <k n="_DisplayString" t="i"/>
    <k n="%EntityServiceId" t="i"/>
    <k n="%EntitySubDomainId" t="i"/>
  </s>
  <s>
    <k n="Change" t="s"/>
    <k n="Change (%)" t="s"/>
  </s>
  <s>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14" formatCode="0.00%"/>
    </x:dxf>
    <x:dxf>
      <x:numFmt numFmtId="2" formatCode="0.00"/>
    </x:dxf>
    <x:dxf>
      <x:numFmt numFmtId="4" formatCode="#,##0.00"/>
    </x:dxf>
    <x:dxf>
      <x:numFmt numFmtId="3" formatCode="#,##0"/>
    </x:dxf>
    <x:dxf>
      <x:numFmt numFmtId="164" formatCode="_([$$-409]* #,##0_);_([$$-409]* \(#,##0\);_([$$-409]* &quot;-&quot;_);_(@_)"/>
    </x:dxf>
    <x:dxf>
      <x:numFmt numFmtId="27" formatCode="m/d/yyyy\ h:mm"/>
    </x:dxf>
    <x:dxf>
      <x:numFmt numFmtId="1" formatCode="0"/>
    </x:dxf>
  </dxfs>
  <richProperties>
    <rPr n="IsTitleField" t="b"/>
    <rPr n="ShouldShowInCell" t="b"/>
    <rPr n="IsHeroField" t="b"/>
  </richProperties>
  <richStyles>
    <rSty dxfid="0"/>
    <rSty>
      <rpv i="0">1</rpv>
    </rSty>
    <rSty dxfid="1"/>
    <rSty>
      <rpv i="1">1</rpv>
    </rSty>
    <rSty dxfid="2"/>
    <rSty dxfid="3"/>
    <rSty>
      <rpv i="2">1</rpv>
    </rSty>
    <rSty dxfid="4"/>
    <rSty dxfid="5"/>
    <rSty dxfid="6"/>
    <rSty dxfid="7"/>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ference1" xr10:uid="{AA0B7797-98DE-4920-8346-BFEA7D9B2A18}" sourceName="Preference">
  <pivotTables>
    <pivotTable tabId="4" name="PivotTable17"/>
  </pivotTables>
  <data>
    <tabular pivotCacheId="673791994">
      <items count="3">
        <i x="1" s="1"/>
        <i x="2"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location1" xr10:uid="{2BC35D08-EA84-49FD-8E0D-0E59C8E095F9}" sourceName="Allocation">
  <pivotTables>
    <pivotTable tabId="4" name="PivotTable17"/>
  </pivotTables>
  <data>
    <tabular pivotCacheId="673791994">
      <items count="100">
        <i x="1" s="1"/>
        <i x="3" s="1"/>
        <i x="2" s="1"/>
        <i x="0" s="1"/>
        <i x="38" s="1" nd="1"/>
        <i x="29" s="1" nd="1"/>
        <i x="8" s="1" nd="1"/>
        <i x="30" s="1" nd="1"/>
        <i x="95" s="1" nd="1"/>
        <i x="15" s="1" nd="1"/>
        <i x="97" s="1" nd="1"/>
        <i x="31" s="1" nd="1"/>
        <i x="28" s="1" nd="1"/>
        <i x="69" s="1" nd="1"/>
        <i x="58" s="1" nd="1"/>
        <i x="18" s="1" nd="1"/>
        <i x="85" s="1" nd="1"/>
        <i x="72" s="1" nd="1"/>
        <i x="43" s="1" nd="1"/>
        <i x="46" s="1" nd="1"/>
        <i x="70" s="1" nd="1"/>
        <i x="61" s="1" nd="1"/>
        <i x="42" s="1" nd="1"/>
        <i x="51" s="1" nd="1"/>
        <i x="44" s="1" nd="1"/>
        <i x="79" s="1" nd="1"/>
        <i x="12" s="1" nd="1"/>
        <i x="32" s="1" nd="1"/>
        <i x="66" s="1" nd="1"/>
        <i x="24" s="1" nd="1"/>
        <i x="73" s="1" nd="1"/>
        <i x="45" s="1" nd="1"/>
        <i x="35" s="1" nd="1"/>
        <i x="53" s="1" nd="1"/>
        <i x="23" s="1" nd="1"/>
        <i x="67" s="1" nd="1"/>
        <i x="89" s="1" nd="1"/>
        <i x="9" s="1" nd="1"/>
        <i x="74" s="1" nd="1"/>
        <i x="10" s="1" nd="1"/>
        <i x="21" s="1" nd="1"/>
        <i x="54" s="1" nd="1"/>
        <i x="4" s="1" nd="1"/>
        <i x="48" s="1" nd="1"/>
        <i x="17" s="1" nd="1"/>
        <i x="55" s="1" nd="1"/>
        <i x="93" s="1" nd="1"/>
        <i x="62" s="1" nd="1"/>
        <i x="81" s="1" nd="1"/>
        <i x="50" s="1" nd="1"/>
        <i x="11" s="1" nd="1"/>
        <i x="87" s="1" nd="1"/>
        <i x="77" s="1" nd="1"/>
        <i x="78" s="1" nd="1"/>
        <i x="91" s="1" nd="1"/>
        <i x="57" s="1" nd="1"/>
        <i x="75" s="1" nd="1"/>
        <i x="14" s="1" nd="1"/>
        <i x="25" s="1" nd="1"/>
        <i x="59" s="1" nd="1"/>
        <i x="71" s="1" nd="1"/>
        <i x="99" s="1" nd="1"/>
        <i x="5" s="1" nd="1"/>
        <i x="80" s="1" nd="1"/>
        <i x="39" s="1" nd="1"/>
        <i x="82" s="1" nd="1"/>
        <i x="83" s="1" nd="1"/>
        <i x="76" s="1" nd="1"/>
        <i x="60" s="1" nd="1"/>
        <i x="19" s="1" nd="1"/>
        <i x="98" s="1" nd="1"/>
        <i x="20" s="1" nd="1"/>
        <i x="22" s="1" nd="1"/>
        <i x="27" s="1" nd="1"/>
        <i x="92" s="1" nd="1"/>
        <i x="63" s="1" nd="1"/>
        <i x="49" s="1" nd="1"/>
        <i x="88" s="1" nd="1"/>
        <i x="33" s="1" nd="1"/>
        <i x="56" s="1" nd="1"/>
        <i x="94" s="1" nd="1"/>
        <i x="68" s="1" nd="1"/>
        <i x="86" s="1" nd="1"/>
        <i x="34" s="1" nd="1"/>
        <i x="96" s="1" nd="1"/>
        <i x="84" s="1" nd="1"/>
        <i x="90" s="1" nd="1"/>
        <i x="40" s="1" nd="1"/>
        <i x="64" s="1" nd="1"/>
        <i x="52" s="1" nd="1"/>
        <i x="6" s="1" nd="1"/>
        <i x="47" s="1" nd="1"/>
        <i x="41" s="1" nd="1"/>
        <i x="13" s="1" nd="1"/>
        <i x="37" s="1" nd="1"/>
        <i x="65" s="1" nd="1"/>
        <i x="16" s="1" nd="1"/>
        <i x="7" s="1" nd="1"/>
        <i x="36" s="1" nd="1"/>
        <i x="2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eference 1" xr10:uid="{6C08C36D-DC70-4DB7-882F-2FEC0982B945}" cache="Slicer_Preference1" caption="Preference" startItem="1" style="SlicerStyleLight6" rowHeight="241300"/>
  <slicer name="Allocation 1" xr10:uid="{3737EC1E-3E79-4208-936E-425F03B426E8}" cache="Slicer_Allocation1" caption="Allocation"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8154F60-F882-4C1D-A526-879306EE75F3}" name="Table_1__7" displayName="Table_1__7" ref="C40:D48" tableType="queryTable" totalsRowShown="0">
  <autoFilter ref="C40:D48" xr:uid="{2B69C4AF-AFDA-4F17-94F2-1D712898396D}"/>
  <tableColumns count="2">
    <tableColumn id="1" xr3:uid="{B953C51D-2C83-4CA3-868D-1D4F19BDB56F}" uniqueName="1" name="Column1" queryTableFieldId="1" dataDxfId="10"/>
    <tableColumn id="2" xr3:uid="{5C23FAFC-D96B-4BBC-9867-243F92EE7CE1}" uniqueName="2" name="Column2" queryTableFieldId="2" dataDxf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D06A50-3EBF-42E2-837A-45660ECE93F0}" name="Table_0__7" displayName="Table_0__7" ref="A40:B48" tableType="queryTable" totalsRowShown="0">
  <autoFilter ref="A40:B48" xr:uid="{0887F46F-64AA-4B67-B6F1-FAE87AC41ABD}"/>
  <tableColumns count="2">
    <tableColumn id="1" xr3:uid="{4076D459-B007-41AA-B746-1C07E354F994}" uniqueName="1" name="Column1" queryTableFieldId="1" dataDxfId="6"/>
    <tableColumn id="2" xr3:uid="{FBA3DA0B-B358-452C-875D-30104F6E406A}" uniqueName="2" name="Column2" queryTableFieldId="2" dataDxfId="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9EE27-4DCD-4EAC-964E-2F6BD8BA7E9C}" name="Table_0__8" displayName="Table_0__8" ref="F40:G48" tableType="queryTable" totalsRowShown="0">
  <autoFilter ref="F40:G48" xr:uid="{97368B5D-33FA-4F4D-8EBD-8369D55ABD84}"/>
  <tableColumns count="2">
    <tableColumn id="1" xr3:uid="{62F2C73D-3BC3-49D6-9D64-7266480F63FF}" uniqueName="1" name="Column1" queryTableFieldId="1" dataDxfId="8"/>
    <tableColumn id="2" xr3:uid="{19813141-5B7A-4FE4-ACDF-06D7E6F17870}" uniqueName="2" name="Column2" queryTableFieldId="2"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FB59CD3-C4F5-415E-B01F-7A1A82D2CCF9}" name="Table_1__8" displayName="Table_1__8" ref="H40:I48" tableType="queryTable" totalsRowShown="0">
  <autoFilter ref="H40:I48" xr:uid="{A16F9553-96B9-40C0-BFF4-710A5DBF4282}"/>
  <tableColumns count="2">
    <tableColumn id="1" xr3:uid="{60BEDB57-4702-4ECF-9C3A-8D49D7991430}" uniqueName="1" name="Column1" queryTableFieldId="1" dataDxfId="12"/>
    <tableColumn id="2" xr3:uid="{BFD53B30-A126-4430-863C-27941847B52B}" uniqueName="2" name="Column2" queryTableFieldId="2" dataDxfId="1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21B626D-C50E-4F39-9D7C-BFFEDB722372}" name="Table_0__9" displayName="Table_0__9" ref="A51:B59" tableType="queryTable" totalsRowShown="0">
  <autoFilter ref="A51:B59" xr:uid="{AC59458E-BB72-4A29-A5C3-721F8642BC48}"/>
  <tableColumns count="2">
    <tableColumn id="1" xr3:uid="{6CCF70FC-D310-41C1-97B0-38904A63AEB0}" uniqueName="1" name="Column1" queryTableFieldId="1" dataDxfId="14"/>
    <tableColumn id="2" xr3:uid="{A618657B-6E4D-4887-A2BE-7C8765AA84C5}" uniqueName="2" name="Column2" queryTableFieldId="2" dataDxfId="1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0423253-4334-4547-A389-D94B4C394C5D}" name="Table_1__9" displayName="Table_1__9" ref="C51:D59" tableType="queryTable" totalsRowShown="0">
  <autoFilter ref="C51:D59" xr:uid="{7A861F59-DA73-4BCC-84DA-07FDC0CC650A}"/>
  <tableColumns count="2">
    <tableColumn id="1" xr3:uid="{33CC549E-A083-4737-A397-DF4F02DF4C66}" uniqueName="1" name="Column1" queryTableFieldId="1" dataDxfId="16"/>
    <tableColumn id="2" xr3:uid="{B6ACE001-492E-43C8-B6FF-8C209E0D97E4}" uniqueName="2" name="Column2" queryTableFieldId="2"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0519BEA-9223-4529-9BD3-CE728AD09F13}" name="Table_0__4" displayName="Table_0__4" ref="F51:G59" tableType="queryTable" totalsRowShown="0">
  <autoFilter ref="F51:G59" xr:uid="{7B959ADF-FFBF-4510-9EC2-C2E3597A8C47}"/>
  <tableColumns count="2">
    <tableColumn id="1" xr3:uid="{DBF21232-C4FC-41DA-A21D-D5FA649D73BB}" uniqueName="1" name="Column1" queryTableFieldId="1" dataDxfId="18"/>
    <tableColumn id="2" xr3:uid="{4206496D-F07F-4842-8718-1BBF92D9D2F3}" uniqueName="2" name="Column2" queryTableFieldId="2" dataDxfId="1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994B6CB-64A2-430C-9613-C775E09E145F}" name="Table_1__4" displayName="Table_1__4" ref="H51:I59" tableType="queryTable" totalsRowShown="0">
  <autoFilter ref="H51:I59" xr:uid="{106DA9E0-E0D4-47E4-89DC-5FECBA6ED064}"/>
  <tableColumns count="2">
    <tableColumn id="1" xr3:uid="{0555C102-2061-45CB-B0A5-6AF525736A46}" uniqueName="1" name="Column1" queryTableFieldId="1" dataDxfId="22"/>
    <tableColumn id="2" xr3:uid="{3B7D2761-1125-478A-B629-7F0642D209A7}" uniqueName="2" name="Column2" queryTableFieldId="2" dataDxfId="2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8D618CB-B7C8-407C-8A59-D84B6A8B409E}" name="Table_0__5" displayName="Table_0__5" ref="A62:B70" tableType="queryTable" totalsRowShown="0">
  <autoFilter ref="A62:B70" xr:uid="{B272678F-E4CD-4C0B-BFC5-59080A805592}"/>
  <tableColumns count="2">
    <tableColumn id="1" xr3:uid="{3D811585-8CAD-4BEF-A4AB-0189CC790946}" uniqueName="1" name="Column1" queryTableFieldId="1" dataDxfId="24"/>
    <tableColumn id="2" xr3:uid="{70F0AF6A-9511-4799-9DBF-44060A80A5F6}" uniqueName="2" name="Column2" queryTableFieldId="2" dataDxf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9155DF3-ABD6-44C7-AED3-DE8871A59547}" name="Table_1__5" displayName="Table_1__5" ref="C62:D70" tableType="queryTable" totalsRowShown="0">
  <autoFilter ref="C62:D70" xr:uid="{B75AF561-83CF-41D3-89FB-8E089A06C6DD}"/>
  <tableColumns count="2">
    <tableColumn id="1" xr3:uid="{3EEF36A0-94C4-4D1A-AE99-96B15C0EF002}" uniqueName="1" name="Column1" queryTableFieldId="1" dataDxfId="20"/>
    <tableColumn id="2" xr3:uid="{29560F90-CC5C-4783-AFAC-2A67ADD4E902}" uniqueName="2" name="Column2" queryTableFieldId="2" dataDxfId="1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9F5A14F-94CB-42C4-BE7C-5F510A7F24FC}" name="Table_0" displayName="Table_0" ref="F62:G70" tableType="queryTable" totalsRowShown="0">
  <autoFilter ref="F62:G70" xr:uid="{5C943343-A51C-4B91-8D7D-07FFFDCCC005}"/>
  <tableColumns count="2">
    <tableColumn id="1" xr3:uid="{1102CA1A-8332-4F91-8EBD-2B5C3FE655AC}" uniqueName="1" name="Column1" queryTableFieldId="1" dataDxfId="26"/>
    <tableColumn id="2" xr3:uid="{3E37E582-3832-4B03-B0DA-C8D1F4BD1683}" uniqueName="2" name="Column2" queryTableFieldId="2" dataDxfId="2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87E1B24-56DF-470E-8841-6371C06ED7C2}" name="Table_1" displayName="Table_1" ref="H62:I70" tableType="queryTable" totalsRowShown="0">
  <autoFilter ref="H62:I70" xr:uid="{BAC89C03-CB5F-4385-AB12-A35F1575D2DD}"/>
  <tableColumns count="2">
    <tableColumn id="1" xr3:uid="{1AF62E87-245C-426E-BA51-EA39632A921B}" uniqueName="1" name="Column1" queryTableFieldId="1" dataDxfId="28"/>
    <tableColumn id="2" xr3:uid="{D2C8014C-8A9B-494B-AB39-96BA056C6DC2}" uniqueName="2" name="Column2" queryTableFieldId="2" dataDxfId="2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8BA006-529A-4359-9B39-28BCDE8C8A69}" name="Table2" displayName="Table2" ref="A10:J17" totalsRowCount="1" headerRowDxfId="143" dataDxfId="142" tableBorderDxfId="141">
  <autoFilter ref="A10:J16" xr:uid="{4F722F4D-F944-495F-96E6-995B6809C813}"/>
  <tableColumns count="10">
    <tableColumn id="1" xr3:uid="{E8FCE885-432B-4DE5-9C9F-3F8B8BACDBEC}" name="Stock" totalsRowLabel="Total" dataDxfId="140" totalsRowDxfId="139"/>
    <tableColumn id="3" xr3:uid="{5A034A8A-E183-4AB4-9BFE-F470F38C2A7E}" name="Shares " totalsRowFunction="custom" dataDxfId="138" totalsRowDxfId="137">
      <totalsRowFormula>SUM(Table2[[Shares ]])</totalsRowFormula>
    </tableColumn>
    <tableColumn id="4" xr3:uid="{03574308-0808-4ECF-8123-52974786303A}" name="Price" dataDxfId="136" totalsRowDxfId="135" dataCellStyle="Currency">
      <calculatedColumnFormula>_FV(Table2[[#This Row],[Stock]],"Price")</calculatedColumnFormula>
    </tableColumn>
    <tableColumn id="5" xr3:uid="{D2522B57-0F89-4ECB-9BB9-0D8F29733825}" name="Volume" dataDxfId="134" totalsRowDxfId="133">
      <calculatedColumnFormula>_FV(Table2[[#This Row],[Stock]],"Volume")</calculatedColumnFormula>
    </tableColumn>
    <tableColumn id="6" xr3:uid="{480B2564-109C-4675-BB0E-F959F8CCE95A}" name="52 week high" dataDxfId="132" totalsRowDxfId="131">
      <calculatedColumnFormula>_FV(Table2[[#This Row],[Stock]],"52 week high",TRUE)</calculatedColumnFormula>
    </tableColumn>
    <tableColumn id="11" xr3:uid="{28CA676D-2228-4581-B8D8-F1A370D8BC5B}" name="Change" totalsRowFunction="sum" dataDxfId="130" totalsRowDxfId="129">
      <calculatedColumnFormula>_FV(Table2[[#This Row],[Stock]],"Change")</calculatedColumnFormula>
    </tableColumn>
    <tableColumn id="12" xr3:uid="{69F74990-F98E-4A25-B3DA-538F3486B06A}" name="Change (%)" totalsRowFunction="sum" dataDxfId="128" totalsRowDxfId="127" dataCellStyle="Percent">
      <calculatedColumnFormula>_FV(Table2[[#This Row],[Stock]],"Change (%)",TRUE)</calculatedColumnFormula>
    </tableColumn>
    <tableColumn id="13" xr3:uid="{61FB4DB2-3941-43B0-8A16-60B344D3F665}" name="Category" dataDxfId="126" totalsRowDxfId="125"/>
    <tableColumn id="14" xr3:uid="{B4D9561A-37EB-47E4-9570-5C05C707FD6E}" name="Market Value" totalsRowFunction="custom" dataDxfId="124" totalsRowDxfId="123">
      <calculatedColumnFormula>Table2[[#This Row],[Price]]*Table2[[#This Row],[Shares ]]+Table2[[#This Row],[Change]]</calculatedColumnFormula>
      <totalsRowFormula>SUM(Table2[Market Value])</totalsRowFormula>
    </tableColumn>
    <tableColumn id="2" xr3:uid="{3DED9A99-70B0-4A9D-8434-5F29A2E3CA1E}" name="Face Value" totalsRowFunction="sum" dataDxfId="122" totalsRowDxfId="121">
      <calculatedColumnFormula>Table2[[#This Row],[Shares ]]*Table2[[#This Row],[Price]]</calculatedColumnFormula>
    </tableColumn>
  </tableColumns>
  <tableStyleInfo name="TableStyleLight14" showFirstColumn="0" showLastColumn="0" showRowStripes="0"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550368-0D0E-4E23-AC44-3771A8FAFB54}" name="Table5" displayName="Table5" ref="L10:L11" totalsRowShown="0" headerRowDxfId="120" dataDxfId="119" tableBorderDxfId="118" dataCellStyle="Currency">
  <autoFilter ref="L10:L11" xr:uid="{259B3D15-3B6D-4733-84C0-B972694AB607}"/>
  <tableColumns count="1">
    <tableColumn id="1" xr3:uid="{14D8526C-338D-4A47-95A0-5A1927D36BA1}" name="Investing" dataDxfId="117" dataCellStyle="Currency">
      <calculatedColumnFormula>Table2[[#Totals],[Market Value]]-Table2[[#Totals],[Face Value]]+100000+Table4[[#Totals],[Equity]]</calculatedColumnFormula>
    </tableColumn>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A4BD4ED-91CB-4F0B-ABEC-38CC55788D67}" name="Table6" displayName="Table6" ref="A7:G8" totalsRowShown="0" headerRowDxfId="116" dataDxfId="115" tableBorderDxfId="114">
  <autoFilter ref="A7:G8" xr:uid="{E9FE77DE-6E3B-49A5-8FF9-5CF23CF538E2}"/>
  <tableColumns count="7">
    <tableColumn id="1" xr3:uid="{D1022FC3-E660-48C6-AD22-FD0CF2007717}" name="Indice" dataDxfId="113"/>
    <tableColumn id="2" xr3:uid="{B7D4E385-A940-4BCC-A3C4-860CD5C63B26}" name="Country/region" dataDxfId="112">
      <calculatedColumnFormula>_FV(Table6[[#This Row],[Indice]],"Country/region",TRUE)</calculatedColumnFormula>
    </tableColumn>
    <tableColumn id="3" xr3:uid="{1253C8B6-BA6F-41A4-AC96-4E1C832A2587}" name="Price" dataDxfId="111" dataCellStyle="Currency">
      <calculatedColumnFormula>_FV(Table6[[#This Row],[Indice]],"Price")</calculatedColumnFormula>
    </tableColumn>
    <tableColumn id="4" xr3:uid="{E13ED539-B740-4C4B-94A5-EAEF813A0D7C}" name="High" dataDxfId="110" dataCellStyle="Currency">
      <calculatedColumnFormula>_FV(Table6[[#This Row],[Indice]],"High")</calculatedColumnFormula>
    </tableColumn>
    <tableColumn id="5" xr3:uid="{568C4C34-679C-4347-8A98-D82739397468}" name="52 week high" dataDxfId="109" dataCellStyle="Currency">
      <calculatedColumnFormula>_FV(Table6[[#This Row],[Indice]],"52 week high",TRUE)</calculatedColumnFormula>
    </tableColumn>
    <tableColumn id="6" xr3:uid="{2581DABF-72E4-404D-9583-BFA9F7CE8620}" name="Change" dataDxfId="108" dataCellStyle="Currency">
      <calculatedColumnFormula>_FV(Table6[[#This Row],[Indice]],"Change")</calculatedColumnFormula>
    </tableColumn>
    <tableColumn id="7" xr3:uid="{6CAAE012-FCB0-4487-866F-3B76AB540A50}" name="Change (%)" dataDxfId="107" dataCellStyle="Currency">
      <calculatedColumnFormula>_FV(Table6[[#This Row],[Indice]],"Change (%)",TRUE)</calculatedColumnFormula>
    </tableColumn>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DF8ABE4-0927-4072-B34B-4B8613BD3E8C}" name="Table38" displayName="Table38" ref="L13:O17" totalsRowShown="0" headerRowDxfId="106" dataDxfId="105" tableBorderDxfId="104">
  <autoFilter ref="L13:O17" xr:uid="{B7B59E01-FEFE-452F-8E2A-B112155D361A}"/>
  <tableColumns count="4">
    <tableColumn id="1" xr3:uid="{669C36D1-D0A9-49BA-B4FA-3B58DCA5B149}" name="Category" dataDxfId="103"/>
    <tableColumn id="2" xr3:uid="{8D725006-25A1-446A-B97A-CA31DCA54DC7}" name="Preference" dataDxfId="102" dataCellStyle="Percent"/>
    <tableColumn id="3" xr3:uid="{9C63E464-B3AE-4E60-BD9B-BBABA521E8A7}" name="Equity" dataDxfId="101" dataCellStyle="Currency">
      <calculatedColumnFormula>SUMIF(Table2[Category],Table38[[#This Row],[Category]],Table2[Market Value])</calculatedColumnFormula>
    </tableColumn>
    <tableColumn id="4" xr3:uid="{69573DC6-AE54-4A9D-9676-8423DFC0E886}" name="Allocation" dataDxfId="100" dataCellStyle="Percent">
      <calculatedColumnFormula>Table38[[#This Row],[Equity]]/SUBTOTAL(109,Table38[Equity])</calculatedColumnFormula>
    </tableColumn>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F4A40F-8576-47F3-BF4B-CF161F6196BF}" name="Table4" displayName="Table4" ref="A10:H12" insertRow="1" totalsRowCount="1" headerRowDxfId="99" dataDxfId="98">
  <autoFilter ref="A10:H11" xr:uid="{A4A7B084-CC45-4071-BA21-B55733A3C3EA}"/>
  <tableColumns count="8">
    <tableColumn id="1" xr3:uid="{A8454EFE-6F8F-4693-B8C1-1B48D12E083E}" name="Stock" totalsRowLabel="Total" dataDxfId="97" totalsRowDxfId="38"/>
    <tableColumn id="2" xr3:uid="{84BBA654-5C5F-4E86-B8DA-E14740E292B2}" name="Shares" totalsRowFunction="sum" dataDxfId="96" totalsRowDxfId="37"/>
    <tableColumn id="3" xr3:uid="{365C0F0B-1027-4A5F-9812-C828D6CB59EA}" name="Price" dataDxfId="95" totalsRowDxfId="36">
      <calculatedColumnFormula>_FV(Table4[[#This Row],[Stock]],"Price")</calculatedColumnFormula>
    </tableColumn>
    <tableColumn id="4" xr3:uid="{0C015D65-BD0A-418C-868E-849B2C0F4740}" name="Volume" dataDxfId="94" totalsRowDxfId="35">
      <calculatedColumnFormula>_FV(Table4[[#This Row],[Stock]],"Volume")</calculatedColumnFormula>
    </tableColumn>
    <tableColumn id="5" xr3:uid="{EEEDCB57-0807-4883-9237-0CC964FD47F1}" name="52 week high" dataDxfId="93" totalsRowDxfId="34">
      <calculatedColumnFormula>_FV(Table4[[#This Row],[Stock]],"52 week high",TRUE)</calculatedColumnFormula>
    </tableColumn>
    <tableColumn id="6" xr3:uid="{E5BAAF81-55C9-40FC-8E6F-F8203D71BD8E}" name="Change" dataDxfId="92" totalsRowDxfId="33">
      <calculatedColumnFormula>_FV(Table4[[#This Row],[Stock]],"Change")</calculatedColumnFormula>
    </tableColumn>
    <tableColumn id="7" xr3:uid="{7F97F5E6-9E2A-4648-9923-EFD5D3E62601}" name="Change (%)" dataDxfId="91" totalsRowDxfId="32">
      <calculatedColumnFormula>_FV(Table4[[#This Row],[Stock]],"Change (%)",TRUE)</calculatedColumnFormula>
    </tableColumn>
    <tableColumn id="8" xr3:uid="{2ACE7EA3-7B36-4E26-9BC9-1AF32CED4647}" name="Equity" totalsRowFunction="sum" dataDxfId="90" totalsRowDxfId="31">
      <calculatedColumnFormula>Table2[[#This Row],[Market Value]]-Table2[[#This Row],[Face Value]]</calculatedColumnFormula>
    </tableColumn>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CBB415-EA73-45F4-8455-2223362224EB}" name="Table52" displayName="Table52" ref="N10:N11" totalsRowShown="0" headerRowDxfId="89" dataDxfId="88" tableBorderDxfId="87" dataCellStyle="Currency">
  <autoFilter ref="N10:N11" xr:uid="{0DB23F40-BA99-49B1-9109-4AA7BD1559DE}"/>
  <tableColumns count="1">
    <tableColumn id="1" xr3:uid="{95CC4BC2-F0AF-4003-9774-BB5F4DB7F36F}" name="Investing" dataDxfId="86" dataCellStyle="Currency">
      <calculatedColumnFormula>Table5[Investing]</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DDC384-D750-4EEA-9352-E9CCCF0A8155}" name="Table3" displayName="Table3" ref="N13:Q17" totalsRowShown="0" headerRowDxfId="85" dataDxfId="84" tableBorderDxfId="83">
  <autoFilter ref="N13:Q17" xr:uid="{73766F27-A815-4BBC-9BD9-FD2F2626BEFA}"/>
  <tableColumns count="4">
    <tableColumn id="1" xr3:uid="{195C006F-42B3-4AF9-AF81-5960C1AC9F40}" name="Category" dataDxfId="82"/>
    <tableColumn id="2" xr3:uid="{2BB01AE3-CE0C-4793-9399-ABBA1034FE02}" name="Preference" dataDxfId="81" dataCellStyle="Percent"/>
    <tableColumn id="3" xr3:uid="{743316AB-B9BA-49FE-B4E5-1050BD53ECEA}" name="Equity" dataDxfId="80" dataCellStyle="Currency">
      <calculatedColumnFormula>SUMIF(Table2[Category],Table3[[#This Row],[Category]],Table2[Market Value])</calculatedColumnFormula>
    </tableColumn>
    <tableColumn id="4" xr3:uid="{842F1AC2-D2F2-4FCA-8D58-DA43DD7CEB38}" name="Allocation" dataDxfId="79" dataCellStyle="Percent">
      <calculatedColumnFormula>Table3[[#This Row],[Equity]]/SUBTOTAL(109,Table3[Equity])</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CD0EC1-963E-4902-A18A-9327702BC19A}" name="Table69" displayName="Table69" ref="A7:G8" totalsRowShown="0" headerRowDxfId="78" dataDxfId="77" tableBorderDxfId="76">
  <autoFilter ref="A7:G8" xr:uid="{14F5D621-FADD-4A9A-AC36-C9EB6FEC3597}"/>
  <tableColumns count="7">
    <tableColumn id="1" xr3:uid="{D94EF0BE-59ED-453B-8238-8EF7582D5799}" name="Indice" dataDxfId="75"/>
    <tableColumn id="2" xr3:uid="{B8020D58-5AE7-4261-B3A0-2A1BF09A7F59}" name="Country/region" dataDxfId="74">
      <calculatedColumnFormula>_FV(Table69[[#This Row],[Indice]],"Country/region",TRUE)</calculatedColumnFormula>
    </tableColumn>
    <tableColumn id="3" xr3:uid="{E0A7264D-5161-494D-ABBA-3E4C2A8001AF}" name="Price" dataDxfId="73" dataCellStyle="Currency">
      <calculatedColumnFormula>_FV(Table69[[#This Row],[Indice]],"Price")</calculatedColumnFormula>
    </tableColumn>
    <tableColumn id="4" xr3:uid="{2F30039D-F563-4FAC-B788-1D1AF8C100AF}" name="High" dataDxfId="72" dataCellStyle="Currency">
      <calculatedColumnFormula>_FV(Table69[[#This Row],[Indice]],"High")</calculatedColumnFormula>
    </tableColumn>
    <tableColumn id="5" xr3:uid="{06FDDC51-0FC4-4AC3-9094-4B01B3E029FD}" name="52 week high" dataDxfId="71" dataCellStyle="Currency">
      <calculatedColumnFormula>_FV(Table69[[#This Row],[Indice]],"52 week high",TRUE)</calculatedColumnFormula>
    </tableColumn>
    <tableColumn id="6" xr3:uid="{DCFB80EC-157B-4F08-A67E-D6B87DCEF476}" name="Change" dataDxfId="70" dataCellStyle="Currency">
      <calculatedColumnFormula>_FV(Table69[[#This Row],[Indice]],"Change")</calculatedColumnFormula>
    </tableColumn>
    <tableColumn id="7" xr3:uid="{3524FB60-AC3C-4229-AA57-08B5B8F716EC}" name="Change (%)" dataDxfId="69" dataCellStyle="Currency">
      <calculatedColumnFormula>_FV(Table69[[#This Row],[Indice]],"Change (%)",TRUE)</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D7E2422-9CE9-430B-81C7-3DF3CE72788B}" name="Shell" displayName="Shell" ref="AG7:AM49" tableType="queryTable" totalsRowShown="0">
  <autoFilter ref="AG7:AM49" xr:uid="{4B481D02-562C-4798-B63F-B9DBAD7A3B37}"/>
  <tableColumns count="7">
    <tableColumn id="1" xr3:uid="{EFA02D0E-8237-48EB-B322-480CC8117686}" uniqueName="1" name="Date" queryTableFieldId="1" dataDxfId="0"/>
    <tableColumn id="2" xr3:uid="{3165C31E-5B7B-49B5-8966-852BFCD9F5B5}" uniqueName="2" name="Open" queryTableFieldId="2" dataDxfId="68"/>
    <tableColumn id="3" xr3:uid="{06EBDC5E-E6D4-4F61-850D-159513C00223}" uniqueName="3" name="High" queryTableFieldId="3" dataDxfId="67"/>
    <tableColumn id="4" xr3:uid="{F0BBD818-59B4-473C-A225-93B99A4CF1B1}" uniqueName="4" name="Low" queryTableFieldId="4" dataDxfId="66"/>
    <tableColumn id="5" xr3:uid="{B24E59B8-2311-49FE-A7F1-D07A9ED3AA4B}" uniqueName="5" name="Close*" queryTableFieldId="5" dataDxfId="65"/>
    <tableColumn id="6" xr3:uid="{98AB75D3-6DC5-4DFE-8B7F-CE3377F10E30}" uniqueName="6" name="Adj Close**" queryTableFieldId="6" dataDxfId="64"/>
    <tableColumn id="7" xr3:uid="{BC93B1EC-191D-4631-8F45-8F492E06A2C5}" uniqueName="7" name="Volume" queryTableFieldId="7" dataDxfId="6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91E66E5-B84E-4696-A0C3-42C1076DF75F}" name="Chevron" displayName="Chevron" ref="Y7:AE47" tableType="queryTable" totalsRowShown="0">
  <autoFilter ref="Y7:AE47" xr:uid="{9CB23C7B-1ECC-46F9-B45E-11100972B826}"/>
  <tableColumns count="7">
    <tableColumn id="1" xr3:uid="{4728A5C0-E321-40B5-9C83-3D3C55A0F994}" uniqueName="1" name="Date" queryTableFieldId="1" dataDxfId="1"/>
    <tableColumn id="2" xr3:uid="{81FE4229-6A2D-4729-939B-CA89F6015C4C}" uniqueName="2" name="Open" queryTableFieldId="2" dataDxfId="62"/>
    <tableColumn id="3" xr3:uid="{E2C3F158-4891-4442-AF40-221AA46E157E}" uniqueName="3" name="High" queryTableFieldId="3" dataDxfId="61"/>
    <tableColumn id="4" xr3:uid="{4D972FD7-6B83-4CC5-A55D-91132CB05C33}" uniqueName="4" name="Low" queryTableFieldId="4" dataDxfId="60"/>
    <tableColumn id="5" xr3:uid="{29DCE875-7D4D-42E3-9EDF-FDB5B224F714}" uniqueName="5" name="Close*" queryTableFieldId="5" dataDxfId="59"/>
    <tableColumn id="6" xr3:uid="{1456C7A0-55FA-455C-9CF8-8BA14582E98B}" uniqueName="6" name="Adj Close**" queryTableFieldId="6" dataDxfId="58"/>
    <tableColumn id="7" xr3:uid="{E94A704D-45AD-4A8F-A780-74EDB06DED7E}" uniqueName="7" name="Volume" queryTableFieldId="7" dataDxfId="5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C380BE5-AEDA-4188-A427-93420A27BF4E}" name="Facebook" displayName="Facebook" ref="Q7:W47" tableType="queryTable" totalsRowShown="0">
  <autoFilter ref="Q7:W47" xr:uid="{1A3A9C23-56C7-49E5-B52F-9BAB7C667E41}"/>
  <tableColumns count="7">
    <tableColumn id="1" xr3:uid="{D044D80F-6599-4557-B7FA-9AE304BFDC2D}" uniqueName="1" name="Date" queryTableFieldId="1" dataDxfId="2"/>
    <tableColumn id="2" xr3:uid="{F0113B8B-B9DF-41B7-AF00-41902A3B7CF8}" uniqueName="2" name="Open" queryTableFieldId="2"/>
    <tableColumn id="3" xr3:uid="{F0CF71DC-FE2A-4A73-A3A9-A34864463AF4}" uniqueName="3" name="High" queryTableFieldId="3"/>
    <tableColumn id="4" xr3:uid="{98811F67-40DA-4FD2-8B4C-86A508F95C93}" uniqueName="4" name="Low" queryTableFieldId="4"/>
    <tableColumn id="5" xr3:uid="{A39E06A7-616B-4DF8-A783-BD1C22FEB1D4}" uniqueName="5" name="Close*" queryTableFieldId="5"/>
    <tableColumn id="6" xr3:uid="{F10CF706-0B56-455E-B453-57539B2860C1}" uniqueName="6" name="Adj Close**" queryTableFieldId="6"/>
    <tableColumn id="7" xr3:uid="{ACC11D78-18A3-4D6E-AE92-FC459439CE53}" uniqueName="7" name="Volume" queryTableFieldId="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7BCBDB7-6B25-4417-A2D1-7332C0C6B28B}" name="Nextera" displayName="Nextera" ref="I7:O38" tableType="queryTable" totalsRowShown="0">
  <autoFilter ref="I7:O38" xr:uid="{80D661C0-758A-436E-B2A4-0ED163D676C6}"/>
  <tableColumns count="7">
    <tableColumn id="1" xr3:uid="{89F7A1A8-AB07-41A9-95F0-E77657A62153}" uniqueName="1" name="Date" queryTableFieldId="1" dataDxfId="30"/>
    <tableColumn id="2" xr3:uid="{6443C853-B840-4A74-B79A-6A1C23F2C524}" uniqueName="2" name="Open" queryTableFieldId="2" dataDxfId="56"/>
    <tableColumn id="3" xr3:uid="{5A0F12E0-ABDC-461C-9D4F-E4BF2B67B20D}" uniqueName="3" name="High" queryTableFieldId="3" dataDxfId="55"/>
    <tableColumn id="4" xr3:uid="{6C20A407-7318-497E-8644-B93A12F8BC7D}" uniqueName="4" name="Low" queryTableFieldId="4" dataDxfId="54"/>
    <tableColumn id="5" xr3:uid="{313C82CD-F545-40E2-8525-6DBE5A5A2954}" uniqueName="5" name="Close*" queryTableFieldId="5" dataDxfId="53"/>
    <tableColumn id="6" xr3:uid="{FD959922-B2CD-482A-830A-8A487484927A}" uniqueName="6" name="Adj Close**" queryTableFieldId="6" dataDxfId="52"/>
    <tableColumn id="7" xr3:uid="{7CF3E9C7-35FD-400F-9967-F42395E075EC}" uniqueName="7" name="Volume" queryTableFieldId="7" dataDxfId="5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BF419EC-AD02-4577-9682-41B9A852FF60}" name="Tesla" displayName="Tesla" ref="A7:G48" tableType="queryTable" totalsRowShown="0">
  <autoFilter ref="A7:G48" xr:uid="{0407B65F-2139-439A-A5B4-CEB3ED39E58C}"/>
  <tableColumns count="7">
    <tableColumn id="1" xr3:uid="{CF52AA9E-635E-49A1-A6C2-189F87E92810}" uniqueName="1" name="Date" queryTableFieldId="1" dataDxfId="3"/>
    <tableColumn id="2" xr3:uid="{0C19EDFF-2158-45C8-B461-EE1D5847A14E}" uniqueName="2" name="Open" queryTableFieldId="2"/>
    <tableColumn id="3" xr3:uid="{7D93F3EB-3344-40F8-A0FC-39AAD91E9DA1}" uniqueName="3" name="High" queryTableFieldId="3"/>
    <tableColumn id="4" xr3:uid="{66C3F736-0F37-4EDD-9B98-2D0A9B861332}" uniqueName="4" name="Low" queryTableFieldId="4"/>
    <tableColumn id="5" xr3:uid="{B13458C7-02BA-449D-B9DF-100951ABA3D9}" uniqueName="5" name="Close*" queryTableFieldId="5"/>
    <tableColumn id="6" xr3:uid="{D4D7BE21-2671-4ADC-A861-E6AE5EF1B2B7}" uniqueName="6" name="Adj Close**" queryTableFieldId="6"/>
    <tableColumn id="7" xr3:uid="{6630DB92-900D-46AD-B16E-7AC1EF1DE094}" uniqueName="7" name="Volume" queryTableFieldId="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83011A3-E651-4843-8EB6-551DA571D2DF}" name="Raytheon" displayName="Raytheon" ref="AO7:AU48" tableType="queryTable" totalsRowShown="0">
  <autoFilter ref="AO7:AU48" xr:uid="{79A5E4E4-C56D-4D2C-B95C-886102E7E32C}"/>
  <tableColumns count="7">
    <tableColumn id="1" xr3:uid="{80667F41-63A3-49EC-BFDF-155D3287277E}" uniqueName="1" name="Date" queryTableFieldId="1" dataDxfId="29"/>
    <tableColumn id="2" xr3:uid="{7C713853-1B50-4229-83F1-9C9B8894BA5C}" uniqueName="2" name="Open" queryTableFieldId="2"/>
    <tableColumn id="3" xr3:uid="{1D60B40C-1BF2-4158-989E-DA7CEC4E96C0}" uniqueName="3" name="High" queryTableFieldId="3"/>
    <tableColumn id="4" xr3:uid="{86163DB4-0904-4D5C-859A-8443457FFDF7}" uniqueName="4" name="Low" queryTableFieldId="4"/>
    <tableColumn id="5" xr3:uid="{7315ACAA-2ED5-401A-8217-C8024042A280}" uniqueName="5" name="Close*" queryTableFieldId="5"/>
    <tableColumn id="6" xr3:uid="{11523F76-B829-4D0B-B0BD-EB377DF5AFDB}" uniqueName="6" name="Adj Close**" queryTableFieldId="6"/>
    <tableColumn id="7" xr3:uid="{FCC314C9-4373-4AE7-B730-F71FE8654BA3}" uniqueName="7" name="Volume" queryTableFieldId="7"/>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7848DB-D94A-4B95-AAD5-1B10F0D7DB45}" name="Nasdaq" displayName="Nasdaq" ref="AW7:BC49" tableType="queryTable" totalsRowShown="0">
  <autoFilter ref="AW7:BC49" xr:uid="{2ECDD0F8-D146-4B7F-8503-3346ED25579C}"/>
  <tableColumns count="7">
    <tableColumn id="1" xr3:uid="{A7343674-A317-4E6F-9431-469E13969DD4}" uniqueName="1" name="Date" queryTableFieldId="1" dataDxfId="4"/>
    <tableColumn id="2" xr3:uid="{58358154-7939-4C81-90DC-ED13D53BF70A}" uniqueName="2" name="Open" queryTableFieldId="2"/>
    <tableColumn id="3" xr3:uid="{8503100F-5141-4F99-AFEA-062F85B17B5E}" uniqueName="3" name="High" queryTableFieldId="3"/>
    <tableColumn id="4" xr3:uid="{08EBF04C-2758-4369-97BB-9321A0C274B6}" uniqueName="4" name="Low" queryTableFieldId="4"/>
    <tableColumn id="5" xr3:uid="{FAD75059-62BD-443E-8AAC-ADB0C3316F36}" uniqueName="5" name="Close*" queryTableFieldId="5"/>
    <tableColumn id="6" xr3:uid="{3AD2089C-B4D7-44ED-9073-03066FB69848}" uniqueName="6" name="Adj Close**" queryTableFieldId="6"/>
    <tableColumn id="7" xr3:uid="{D3F90112-342B-4249-A772-9D714EF25163}" uniqueName="7" name="Volume"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microsoft.com/office/2007/relationships/slicer" Target="../slicers/slicer1.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8.xml"/><Relationship Id="rId1" Type="http://schemas.openxmlformats.org/officeDocument/2006/relationships/printerSettings" Target="../printerSettings/printerSettings2.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drawing" Target="../drawings/drawing9.xml"/><Relationship Id="rId5" Type="http://schemas.openxmlformats.org/officeDocument/2006/relationships/table" Target="../tables/table20.xml"/><Relationship Id="rId4" Type="http://schemas.openxmlformats.org/officeDocument/2006/relationships/table" Target="../tables/table1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drawing" Target="../drawings/drawing10.xml"/><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7D08-7FBA-4B5C-9962-68BF55B340FC}">
  <sheetPr codeName="Sheet6"/>
  <dimension ref="A6:N70"/>
  <sheetViews>
    <sheetView showGridLines="0" tabSelected="1" zoomScaleNormal="100" workbookViewId="0">
      <selection activeCell="Q13" sqref="Q13"/>
    </sheetView>
  </sheetViews>
  <sheetFormatPr defaultRowHeight="15" x14ac:dyDescent="0.25"/>
  <cols>
    <col min="1" max="1" width="14.5703125" style="19" bestFit="1" customWidth="1"/>
    <col min="2" max="2" width="17" style="19" bestFit="1" customWidth="1"/>
    <col min="3" max="4" width="23.85546875" style="19" bestFit="1" customWidth="1"/>
    <col min="5" max="5" width="9.140625" style="19"/>
    <col min="6" max="6" width="14.5703125" style="19" bestFit="1" customWidth="1"/>
    <col min="7" max="7" width="13.85546875" style="19" bestFit="1" customWidth="1"/>
    <col min="8" max="9" width="23.85546875" style="19" bestFit="1" customWidth="1"/>
    <col min="10" max="13" width="9.140625" style="19"/>
    <col min="14" max="14" width="21.42578125" style="19" customWidth="1"/>
    <col min="15" max="24" width="9.140625" style="19"/>
    <col min="25" max="25" width="19.7109375" style="19" customWidth="1"/>
    <col min="26" max="16384" width="9.140625" style="19"/>
  </cols>
  <sheetData>
    <row r="6" spans="14:14" ht="21" x14ac:dyDescent="0.35">
      <c r="N6" s="43">
        <f>Table5[Investing]</f>
        <v>99933.55</v>
      </c>
    </row>
    <row r="9" spans="14:14" ht="21" x14ac:dyDescent="0.35">
      <c r="N9" s="35">
        <f>Table2[[#Totals],[Change (%)]]</f>
        <v>-8.0835000000000004E-2</v>
      </c>
    </row>
    <row r="39" spans="1:9" ht="15.75" x14ac:dyDescent="0.25">
      <c r="A39" s="40" t="s">
        <v>29</v>
      </c>
      <c r="F39" s="40" t="s">
        <v>66</v>
      </c>
    </row>
    <row r="40" spans="1:9" x14ac:dyDescent="0.25">
      <c r="A40" t="s">
        <v>81</v>
      </c>
      <c r="B40" t="s">
        <v>82</v>
      </c>
      <c r="C40" t="s">
        <v>81</v>
      </c>
      <c r="D40" t="s">
        <v>82</v>
      </c>
      <c r="F40" t="s">
        <v>81</v>
      </c>
      <c r="G40" t="s">
        <v>82</v>
      </c>
      <c r="H40" t="s">
        <v>81</v>
      </c>
      <c r="I40" t="s">
        <v>82</v>
      </c>
    </row>
    <row r="41" spans="1:9" x14ac:dyDescent="0.25">
      <c r="A41" s="14" t="s">
        <v>41</v>
      </c>
      <c r="B41" s="14" t="s">
        <v>132</v>
      </c>
      <c r="C41" s="14" t="s">
        <v>48</v>
      </c>
      <c r="D41" s="14" t="s">
        <v>137</v>
      </c>
      <c r="F41" s="14" t="s">
        <v>41</v>
      </c>
      <c r="G41" s="14" t="s">
        <v>114</v>
      </c>
      <c r="H41" s="14" t="s">
        <v>48</v>
      </c>
      <c r="I41" s="14" t="s">
        <v>120</v>
      </c>
    </row>
    <row r="42" spans="1:9" x14ac:dyDescent="0.25">
      <c r="A42" s="14" t="s">
        <v>25</v>
      </c>
      <c r="B42" s="14" t="s">
        <v>133</v>
      </c>
      <c r="C42" s="14" t="s">
        <v>49</v>
      </c>
      <c r="D42" s="14" t="s">
        <v>50</v>
      </c>
      <c r="F42" s="14" t="s">
        <v>25</v>
      </c>
      <c r="G42" s="14" t="s">
        <v>115</v>
      </c>
      <c r="H42" s="14" t="s">
        <v>49</v>
      </c>
      <c r="I42" s="14" t="s">
        <v>62</v>
      </c>
    </row>
    <row r="43" spans="1:9" x14ac:dyDescent="0.25">
      <c r="A43" s="14" t="s">
        <v>42</v>
      </c>
      <c r="B43" s="14" t="s">
        <v>110</v>
      </c>
      <c r="C43" s="14" t="s">
        <v>51</v>
      </c>
      <c r="D43" s="14" t="s">
        <v>138</v>
      </c>
      <c r="F43" s="14" t="s">
        <v>42</v>
      </c>
      <c r="G43" s="14" t="s">
        <v>90</v>
      </c>
      <c r="H43" s="14" t="s">
        <v>51</v>
      </c>
      <c r="I43" s="14" t="s">
        <v>121</v>
      </c>
    </row>
    <row r="44" spans="1:9" x14ac:dyDescent="0.25">
      <c r="A44" s="14" t="s">
        <v>43</v>
      </c>
      <c r="B44" s="14" t="s">
        <v>109</v>
      </c>
      <c r="C44" s="14" t="s">
        <v>52</v>
      </c>
      <c r="D44" s="14" t="s">
        <v>53</v>
      </c>
      <c r="F44" s="14" t="s">
        <v>43</v>
      </c>
      <c r="G44" s="14" t="s">
        <v>116</v>
      </c>
      <c r="H44" s="14" t="s">
        <v>52</v>
      </c>
      <c r="I44" s="14" t="s">
        <v>63</v>
      </c>
    </row>
    <row r="45" spans="1:9" x14ac:dyDescent="0.25">
      <c r="A45" s="14" t="s">
        <v>44</v>
      </c>
      <c r="B45" s="14" t="s">
        <v>134</v>
      </c>
      <c r="C45" s="14" t="s">
        <v>54</v>
      </c>
      <c r="D45" s="14" t="s">
        <v>55</v>
      </c>
      <c r="F45" s="14" t="s">
        <v>44</v>
      </c>
      <c r="G45" s="14" t="s">
        <v>117</v>
      </c>
      <c r="H45" s="14" t="s">
        <v>54</v>
      </c>
      <c r="I45" s="14" t="s">
        <v>64</v>
      </c>
    </row>
    <row r="46" spans="1:9" x14ac:dyDescent="0.25">
      <c r="A46" s="14" t="s">
        <v>45</v>
      </c>
      <c r="B46" s="14" t="s">
        <v>46</v>
      </c>
      <c r="C46" s="14" t="s">
        <v>56</v>
      </c>
      <c r="D46" s="14" t="s">
        <v>57</v>
      </c>
      <c r="F46" s="14" t="s">
        <v>45</v>
      </c>
      <c r="G46" s="14" t="s">
        <v>61</v>
      </c>
      <c r="H46" s="14" t="s">
        <v>56</v>
      </c>
      <c r="I46" s="14" t="s">
        <v>122</v>
      </c>
    </row>
    <row r="47" spans="1:9" x14ac:dyDescent="0.25">
      <c r="A47" s="14" t="s">
        <v>3</v>
      </c>
      <c r="B47" s="14" t="s">
        <v>135</v>
      </c>
      <c r="C47" s="14" t="s">
        <v>58</v>
      </c>
      <c r="D47" s="14" t="s">
        <v>59</v>
      </c>
      <c r="F47" s="14" t="s">
        <v>3</v>
      </c>
      <c r="G47" s="14" t="s">
        <v>118</v>
      </c>
      <c r="H47" s="14" t="s">
        <v>58</v>
      </c>
      <c r="I47" s="14" t="s">
        <v>65</v>
      </c>
    </row>
    <row r="48" spans="1:9" x14ac:dyDescent="0.25">
      <c r="A48" s="14" t="s">
        <v>47</v>
      </c>
      <c r="B48" s="14" t="s">
        <v>136</v>
      </c>
      <c r="C48" s="14" t="s">
        <v>60</v>
      </c>
      <c r="D48" s="14" t="s">
        <v>139</v>
      </c>
      <c r="F48" s="14" t="s">
        <v>47</v>
      </c>
      <c r="G48" s="14" t="s">
        <v>119</v>
      </c>
      <c r="H48" s="14" t="s">
        <v>60</v>
      </c>
      <c r="I48" s="14" t="s">
        <v>123</v>
      </c>
    </row>
    <row r="49" spans="1:9" x14ac:dyDescent="0.25">
      <c r="A49" s="37"/>
      <c r="B49" s="37"/>
      <c r="F49" s="37"/>
      <c r="G49" s="37"/>
    </row>
    <row r="50" spans="1:9" ht="15.75" x14ac:dyDescent="0.25">
      <c r="A50" s="41" t="s">
        <v>31</v>
      </c>
      <c r="B50" s="36"/>
      <c r="C50" s="38"/>
      <c r="D50" s="38"/>
      <c r="F50" s="41" t="s">
        <v>32</v>
      </c>
      <c r="G50" s="36"/>
      <c r="H50" s="38"/>
      <c r="I50" s="38"/>
    </row>
    <row r="51" spans="1:9" x14ac:dyDescent="0.25">
      <c r="A51" t="s">
        <v>81</v>
      </c>
      <c r="B51" t="s">
        <v>82</v>
      </c>
      <c r="C51" t="s">
        <v>81</v>
      </c>
      <c r="D51" t="s">
        <v>82</v>
      </c>
      <c r="F51" t="s">
        <v>81</v>
      </c>
      <c r="G51" t="s">
        <v>82</v>
      </c>
      <c r="H51" t="s">
        <v>81</v>
      </c>
      <c r="I51" t="s">
        <v>82</v>
      </c>
    </row>
    <row r="52" spans="1:9" x14ac:dyDescent="0.25">
      <c r="A52" s="14" t="s">
        <v>41</v>
      </c>
      <c r="B52" s="14" t="s">
        <v>128</v>
      </c>
      <c r="C52" s="14" t="s">
        <v>48</v>
      </c>
      <c r="D52" s="14" t="s">
        <v>124</v>
      </c>
      <c r="F52" s="14" t="s">
        <v>41</v>
      </c>
      <c r="G52" s="14" t="s">
        <v>107</v>
      </c>
      <c r="H52" s="14" t="s">
        <v>48</v>
      </c>
      <c r="I52" s="14" t="s">
        <v>104</v>
      </c>
    </row>
    <row r="53" spans="1:9" x14ac:dyDescent="0.25">
      <c r="A53" s="14" t="s">
        <v>25</v>
      </c>
      <c r="B53" s="14" t="s">
        <v>129</v>
      </c>
      <c r="C53" s="14" t="s">
        <v>49</v>
      </c>
      <c r="D53" s="14" t="s">
        <v>50</v>
      </c>
      <c r="F53" s="14" t="s">
        <v>25</v>
      </c>
      <c r="G53" s="14" t="s">
        <v>108</v>
      </c>
      <c r="H53" s="14" t="s">
        <v>49</v>
      </c>
      <c r="I53" s="14" t="s">
        <v>69</v>
      </c>
    </row>
    <row r="54" spans="1:9" x14ac:dyDescent="0.25">
      <c r="A54" s="14" t="s">
        <v>42</v>
      </c>
      <c r="B54" s="14" t="s">
        <v>116</v>
      </c>
      <c r="C54" s="14" t="s">
        <v>51</v>
      </c>
      <c r="D54" s="14" t="s">
        <v>125</v>
      </c>
      <c r="F54" s="14" t="s">
        <v>42</v>
      </c>
      <c r="G54" s="14" t="s">
        <v>109</v>
      </c>
      <c r="H54" s="14" t="s">
        <v>51</v>
      </c>
      <c r="I54" s="14" t="s">
        <v>105</v>
      </c>
    </row>
    <row r="55" spans="1:9" x14ac:dyDescent="0.25">
      <c r="A55" s="14" t="s">
        <v>43</v>
      </c>
      <c r="B55" s="14" t="s">
        <v>109</v>
      </c>
      <c r="C55" s="14" t="s">
        <v>52</v>
      </c>
      <c r="D55" s="14" t="s">
        <v>68</v>
      </c>
      <c r="F55" s="14" t="s">
        <v>43</v>
      </c>
      <c r="G55" s="14" t="s">
        <v>110</v>
      </c>
      <c r="H55" s="14" t="s">
        <v>52</v>
      </c>
      <c r="I55" s="14" t="s">
        <v>70</v>
      </c>
    </row>
    <row r="56" spans="1:9" x14ac:dyDescent="0.25">
      <c r="A56" s="14" t="s">
        <v>44</v>
      </c>
      <c r="B56" s="14" t="s">
        <v>130</v>
      </c>
      <c r="C56" s="14" t="s">
        <v>54</v>
      </c>
      <c r="D56" s="14" t="s">
        <v>126</v>
      </c>
      <c r="F56" s="14" t="s">
        <v>44</v>
      </c>
      <c r="G56" s="14" t="s">
        <v>111</v>
      </c>
      <c r="H56" s="14" t="s">
        <v>54</v>
      </c>
      <c r="I56" s="14" t="s">
        <v>71</v>
      </c>
    </row>
    <row r="57" spans="1:9" x14ac:dyDescent="0.25">
      <c r="A57" s="14" t="s">
        <v>45</v>
      </c>
      <c r="B57" s="14" t="s">
        <v>67</v>
      </c>
      <c r="C57" s="14" t="s">
        <v>56</v>
      </c>
      <c r="D57" s="14" t="s">
        <v>57</v>
      </c>
      <c r="F57" s="14" t="s">
        <v>45</v>
      </c>
      <c r="G57" s="14" t="s">
        <v>73</v>
      </c>
      <c r="H57" s="14" t="s">
        <v>56</v>
      </c>
      <c r="I57" s="14" t="s">
        <v>106</v>
      </c>
    </row>
    <row r="58" spans="1:9" x14ac:dyDescent="0.25">
      <c r="A58" s="14" t="s">
        <v>3</v>
      </c>
      <c r="B58" s="14" t="s">
        <v>131</v>
      </c>
      <c r="C58" s="14" t="s">
        <v>58</v>
      </c>
      <c r="D58" s="14" t="s">
        <v>59</v>
      </c>
      <c r="F58" s="14" t="s">
        <v>3</v>
      </c>
      <c r="G58" s="14" t="s">
        <v>112</v>
      </c>
      <c r="H58" s="14" t="s">
        <v>58</v>
      </c>
      <c r="I58" s="14" t="s">
        <v>72</v>
      </c>
    </row>
    <row r="59" spans="1:9" x14ac:dyDescent="0.25">
      <c r="A59" s="14" t="s">
        <v>47</v>
      </c>
      <c r="B59" s="14" t="s">
        <v>140</v>
      </c>
      <c r="C59" s="14" t="s">
        <v>60</v>
      </c>
      <c r="D59" s="14" t="s">
        <v>127</v>
      </c>
      <c r="F59" s="14" t="s">
        <v>47</v>
      </c>
      <c r="G59" s="14" t="s">
        <v>113</v>
      </c>
      <c r="H59" s="14" t="s">
        <v>60</v>
      </c>
      <c r="I59" s="14" t="s">
        <v>83</v>
      </c>
    </row>
    <row r="60" spans="1:9" x14ac:dyDescent="0.25">
      <c r="A60" s="36"/>
      <c r="B60" s="36"/>
      <c r="C60" s="38"/>
      <c r="D60" s="38"/>
      <c r="F60" s="36"/>
      <c r="G60" s="36"/>
      <c r="H60" s="38"/>
      <c r="I60" s="38"/>
    </row>
    <row r="61" spans="1:9" ht="15.75" x14ac:dyDescent="0.25">
      <c r="A61" s="41" t="s">
        <v>33</v>
      </c>
      <c r="B61" s="36"/>
      <c r="C61" s="39"/>
      <c r="D61" s="36"/>
      <c r="F61" s="41" t="s">
        <v>34</v>
      </c>
      <c r="G61" s="36"/>
      <c r="H61" s="36"/>
      <c r="I61" s="36"/>
    </row>
    <row r="62" spans="1:9" x14ac:dyDescent="0.25">
      <c r="A62" t="s">
        <v>81</v>
      </c>
      <c r="B62" t="s">
        <v>82</v>
      </c>
      <c r="C62" t="s">
        <v>81</v>
      </c>
      <c r="D62" t="s">
        <v>82</v>
      </c>
      <c r="F62" t="s">
        <v>81</v>
      </c>
      <c r="G62" t="s">
        <v>82</v>
      </c>
      <c r="H62" t="s">
        <v>81</v>
      </c>
      <c r="I62" t="s">
        <v>82</v>
      </c>
    </row>
    <row r="63" spans="1:9" x14ac:dyDescent="0.25">
      <c r="A63" s="14" t="s">
        <v>41</v>
      </c>
      <c r="B63" s="14" t="s">
        <v>98</v>
      </c>
      <c r="C63" s="14" t="s">
        <v>48</v>
      </c>
      <c r="D63" s="14" t="s">
        <v>95</v>
      </c>
      <c r="F63" s="14" t="s">
        <v>41</v>
      </c>
      <c r="G63" s="14" t="s">
        <v>88</v>
      </c>
      <c r="H63" s="14" t="s">
        <v>48</v>
      </c>
      <c r="I63" s="14" t="s">
        <v>84</v>
      </c>
    </row>
    <row r="64" spans="1:9" x14ac:dyDescent="0.25">
      <c r="A64" s="14" t="s">
        <v>25</v>
      </c>
      <c r="B64" s="14" t="s">
        <v>99</v>
      </c>
      <c r="C64" s="14" t="s">
        <v>49</v>
      </c>
      <c r="D64" s="14" t="s">
        <v>75</v>
      </c>
      <c r="F64" s="14" t="s">
        <v>25</v>
      </c>
      <c r="G64" s="14" t="s">
        <v>89</v>
      </c>
      <c r="H64" s="14" t="s">
        <v>49</v>
      </c>
      <c r="I64" s="14" t="s">
        <v>75</v>
      </c>
    </row>
    <row r="65" spans="1:9" x14ac:dyDescent="0.25">
      <c r="A65" s="14" t="s">
        <v>42</v>
      </c>
      <c r="B65" s="14" t="s">
        <v>91</v>
      </c>
      <c r="C65" s="14" t="s">
        <v>51</v>
      </c>
      <c r="D65" s="14" t="s">
        <v>96</v>
      </c>
      <c r="F65" s="14" t="s">
        <v>42</v>
      </c>
      <c r="G65" s="14" t="s">
        <v>90</v>
      </c>
      <c r="H65" s="14" t="s">
        <v>51</v>
      </c>
      <c r="I65" s="14" t="s">
        <v>59</v>
      </c>
    </row>
    <row r="66" spans="1:9" x14ac:dyDescent="0.25">
      <c r="A66" s="14" t="s">
        <v>43</v>
      </c>
      <c r="B66" s="14" t="s">
        <v>100</v>
      </c>
      <c r="C66" s="14" t="s">
        <v>52</v>
      </c>
      <c r="D66" s="14" t="s">
        <v>76</v>
      </c>
      <c r="F66" s="14" t="s">
        <v>43</v>
      </c>
      <c r="G66" s="14" t="s">
        <v>91</v>
      </c>
      <c r="H66" s="14" t="s">
        <v>52</v>
      </c>
      <c r="I66" s="14" t="s">
        <v>59</v>
      </c>
    </row>
    <row r="67" spans="1:9" x14ac:dyDescent="0.25">
      <c r="A67" s="14" t="s">
        <v>44</v>
      </c>
      <c r="B67" s="14" t="s">
        <v>101</v>
      </c>
      <c r="C67" s="14" t="s">
        <v>54</v>
      </c>
      <c r="D67" s="14" t="s">
        <v>59</v>
      </c>
      <c r="F67" s="14" t="s">
        <v>44</v>
      </c>
      <c r="G67" s="14" t="s">
        <v>92</v>
      </c>
      <c r="H67" s="14" t="s">
        <v>54</v>
      </c>
      <c r="I67" s="14" t="s">
        <v>85</v>
      </c>
    </row>
    <row r="68" spans="1:9" x14ac:dyDescent="0.25">
      <c r="A68" s="14" t="s">
        <v>45</v>
      </c>
      <c r="B68" s="14" t="s">
        <v>74</v>
      </c>
      <c r="C68" s="14" t="s">
        <v>56</v>
      </c>
      <c r="D68" s="14" t="s">
        <v>97</v>
      </c>
      <c r="F68" s="14" t="s">
        <v>45</v>
      </c>
      <c r="G68" s="14" t="s">
        <v>80</v>
      </c>
      <c r="H68" s="14" t="s">
        <v>56</v>
      </c>
      <c r="I68" s="14" t="s">
        <v>86</v>
      </c>
    </row>
    <row r="69" spans="1:9" x14ac:dyDescent="0.25">
      <c r="A69" s="14" t="s">
        <v>3</v>
      </c>
      <c r="B69" s="14" t="s">
        <v>102</v>
      </c>
      <c r="C69" s="14" t="s">
        <v>58</v>
      </c>
      <c r="D69" s="14" t="s">
        <v>77</v>
      </c>
      <c r="F69" s="14" t="s">
        <v>3</v>
      </c>
      <c r="G69" s="14" t="s">
        <v>93</v>
      </c>
      <c r="H69" s="14" t="s">
        <v>58</v>
      </c>
      <c r="I69" s="14" t="s">
        <v>79</v>
      </c>
    </row>
    <row r="70" spans="1:9" x14ac:dyDescent="0.25">
      <c r="A70" s="14" t="s">
        <v>47</v>
      </c>
      <c r="B70" s="14" t="s">
        <v>103</v>
      </c>
      <c r="C70" s="14" t="s">
        <v>60</v>
      </c>
      <c r="D70" s="14" t="s">
        <v>78</v>
      </c>
      <c r="F70" s="14" t="s">
        <v>47</v>
      </c>
      <c r="G70" s="14" t="s">
        <v>94</v>
      </c>
      <c r="H70" s="14" t="s">
        <v>60</v>
      </c>
      <c r="I70" s="14" t="s">
        <v>87</v>
      </c>
    </row>
  </sheetData>
  <pageMargins left="0.7" right="0.7" top="0.75" bottom="0.75" header="0.3" footer="0.3"/>
  <pageSetup orientation="portrait" r:id="rId1"/>
  <drawing r:id="rId2"/>
  <tableParts count="12">
    <tablePart r:id="rId3"/>
    <tablePart r:id="rId4"/>
    <tablePart r:id="rId5"/>
    <tablePart r:id="rId6"/>
    <tablePart r:id="rId7"/>
    <tablePart r:id="rId8"/>
    <tablePart r:id="rId9"/>
    <tablePart r:id="rId10"/>
    <tablePart r:id="rId11"/>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 id="{B2E6F49B-46BE-481B-9A68-85B3007026C0}">
            <x14:iconSet iconSet="3Triangles" custom="1">
              <x14:cfvo type="percent">
                <xm:f>0</xm:f>
              </x14:cfvo>
              <x14:cfvo type="num">
                <xm:f>0.01</xm:f>
              </x14:cfvo>
              <x14:cfvo type="num">
                <xm:f>0.01</xm:f>
              </x14:cfvo>
              <x14:cfIcon iconSet="3Triangles" iconId="0"/>
              <x14:cfIcon iconSet="NoIcons" iconId="0"/>
              <x14:cfIcon iconSet="3Triangles" iconId="2"/>
            </x14:iconSet>
          </x14:cfRule>
          <xm:sqref>N6</xm:sqref>
        </x14:conditionalFormatting>
        <x14:conditionalFormatting xmlns:xm="http://schemas.microsoft.com/office/excel/2006/main">
          <x14:cfRule type="iconSet" priority="1" id="{029EEBE1-29CC-4DC6-9132-93CEAD1AF276}">
            <x14:iconSet iconSet="3Triangles" custom="1">
              <x14:cfvo type="percent">
                <xm:f>0</xm:f>
              </x14:cfvo>
              <x14:cfvo type="num">
                <xm:f>0.01</xm:f>
              </x14:cfvo>
              <x14:cfvo type="num">
                <xm:f>0.01</xm:f>
              </x14:cfvo>
              <x14:cfIcon iconSet="3Triangles" iconId="0"/>
              <x14:cfIcon iconSet="NoIcons" iconId="0"/>
              <x14:cfIcon iconSet="3Triangles" iconId="2"/>
            </x14:iconSet>
          </x14:cfRule>
          <xm:sqref>N9</xm:sqref>
        </x14:conditionalFormatting>
      </x14:conditionalFormattings>
    </ex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8E5A8-F9ED-4E9E-9E9F-062D2AE4847A}">
  <sheetPr codeName="Sheet1"/>
  <dimension ref="A1:O31"/>
  <sheetViews>
    <sheetView showGridLines="0" workbookViewId="0">
      <selection activeCell="H23" sqref="H23"/>
    </sheetView>
  </sheetViews>
  <sheetFormatPr defaultRowHeight="15" x14ac:dyDescent="0.25"/>
  <cols>
    <col min="1" max="1" width="44.28515625" customWidth="1"/>
    <col min="2" max="2" width="19.7109375" customWidth="1"/>
    <col min="3" max="3" width="13.5703125" customWidth="1"/>
    <col min="4" max="5" width="18.42578125" customWidth="1"/>
    <col min="6" max="6" width="14" customWidth="1"/>
    <col min="7" max="7" width="15.7109375" customWidth="1"/>
    <col min="8" max="8" width="14.5703125" customWidth="1"/>
    <col min="9" max="9" width="18.42578125" customWidth="1"/>
    <col min="10" max="10" width="17" customWidth="1"/>
    <col min="11" max="11" width="10.140625" customWidth="1"/>
    <col min="12" max="12" width="16.42578125" customWidth="1"/>
    <col min="13" max="13" width="15.5703125" customWidth="1"/>
    <col min="14" max="14" width="14.140625" customWidth="1"/>
    <col min="15" max="15" width="16.140625" customWidth="1"/>
    <col min="16" max="16" width="16.28515625" customWidth="1"/>
    <col min="18" max="18" width="22.7109375" customWidth="1"/>
    <col min="19" max="19" width="10.7109375" customWidth="1"/>
    <col min="20" max="20" width="11.5703125" customWidth="1"/>
    <col min="21" max="21" width="11.5703125" bestFit="1" customWidth="1"/>
  </cols>
  <sheetData>
    <row r="1" spans="1:15" ht="19.5" customHeight="1" x14ac:dyDescent="0.25"/>
    <row r="7" spans="1:15" x14ac:dyDescent="0.25">
      <c r="A7" s="9" t="s">
        <v>19</v>
      </c>
      <c r="B7" s="9" t="s">
        <v>17</v>
      </c>
      <c r="C7" s="9" t="s">
        <v>2</v>
      </c>
      <c r="D7" s="9" t="s">
        <v>18</v>
      </c>
      <c r="E7" s="9" t="s">
        <v>4</v>
      </c>
      <c r="F7" s="9" t="s">
        <v>5</v>
      </c>
      <c r="G7" s="9" t="s">
        <v>6</v>
      </c>
    </row>
    <row r="8" spans="1:15" x14ac:dyDescent="0.25">
      <c r="A8" s="2" t="e" vm="1">
        <v>#VALUE!</v>
      </c>
      <c r="B8" s="8" t="str">
        <f>_FV(Table6[[#This Row],[Indice]],"Country/region",TRUE)</f>
        <v>US</v>
      </c>
      <c r="C8" s="11">
        <f>_FV(Table6[[#This Row],[Indice]],"Price")</f>
        <v>10402.092000000001</v>
      </c>
      <c r="D8" s="3">
        <f>_FV(Table6[[#This Row],[Indice]],"High")</f>
        <v>10523.64</v>
      </c>
      <c r="E8" s="11">
        <f>_FV(Table6[[#This Row],[Indice]],"52 week high",TRUE)</f>
        <v>10839.928</v>
      </c>
      <c r="F8" s="11">
        <f>_FV(Table6[[#This Row],[Indice]],"Change")</f>
        <v>-134.17500000000001</v>
      </c>
      <c r="G8" s="11">
        <f>_FV(Table6[[#This Row],[Indice]],"Change (%)",TRUE)</f>
        <v>-1.2735000000000002E-2</v>
      </c>
    </row>
    <row r="10" spans="1:15" x14ac:dyDescent="0.25">
      <c r="A10" s="9" t="s">
        <v>14</v>
      </c>
      <c r="B10" s="9" t="s">
        <v>15</v>
      </c>
      <c r="C10" s="9" t="s">
        <v>2</v>
      </c>
      <c r="D10" s="9" t="s">
        <v>3</v>
      </c>
      <c r="E10" s="9" t="s">
        <v>4</v>
      </c>
      <c r="F10" s="9" t="s">
        <v>5</v>
      </c>
      <c r="G10" s="9" t="s">
        <v>6</v>
      </c>
      <c r="H10" s="9" t="s">
        <v>1</v>
      </c>
      <c r="I10" s="9" t="s">
        <v>37</v>
      </c>
      <c r="J10" s="25" t="s">
        <v>39</v>
      </c>
      <c r="L10" s="34" t="s">
        <v>38</v>
      </c>
      <c r="N10" s="1"/>
      <c r="O10" s="2"/>
    </row>
    <row r="11" spans="1:15" x14ac:dyDescent="0.25">
      <c r="A11" s="28" t="e" vm="2">
        <v>#VALUE!</v>
      </c>
      <c r="B11" s="10">
        <v>20</v>
      </c>
      <c r="C11" s="11">
        <f>_FV(Table2[[#This Row],[Stock]],"Price")</f>
        <v>1476.49</v>
      </c>
      <c r="D11" s="10">
        <f>_FV(Table2[[#This Row],[Stock]],"Volume")</f>
        <v>15808700</v>
      </c>
      <c r="E11" s="12">
        <f>_FV(Table2[[#This Row],[Stock]],"52 week high",TRUE)</f>
        <v>1794.99</v>
      </c>
      <c r="F11" s="12">
        <f>_FV(Table2[[#This Row],[Stock]],"Change")</f>
        <v>-63.11</v>
      </c>
      <c r="G11" s="29">
        <f>_FV(Table2[[#This Row],[Stock]],"Change (%)",TRUE)</f>
        <v>-4.0991E-2</v>
      </c>
      <c r="H11" s="13" t="s">
        <v>0</v>
      </c>
      <c r="I11" s="12">
        <f>Table2[[#This Row],[Price]]*Table2[[#This Row],[Shares ]]+Table2[[#This Row],[Change]]</f>
        <v>29466.69</v>
      </c>
      <c r="J11" s="20">
        <f>Table2[[#This Row],[Shares ]]*Table2[[#This Row],[Price]]</f>
        <v>29529.8</v>
      </c>
      <c r="L11" s="3">
        <f>Table2[[#Totals],[Market Value]]-Table2[[#Totals],[Face Value]]+100000+Table4[[#Totals],[Equity]]</f>
        <v>99933.55</v>
      </c>
      <c r="N11" s="1"/>
      <c r="O11" s="4"/>
    </row>
    <row r="12" spans="1:15" x14ac:dyDescent="0.25">
      <c r="A12" s="28" t="e" vm="3">
        <v>#VALUE!</v>
      </c>
      <c r="B12" s="10">
        <v>10</v>
      </c>
      <c r="C12" s="11">
        <f>_FV(Table2[[#This Row],[Stock]],"Price")</f>
        <v>280.04000000000002</v>
      </c>
      <c r="D12" s="10">
        <f>_FV(Table2[[#This Row],[Stock]],"Volume")</f>
        <v>1636904</v>
      </c>
      <c r="E12" s="12">
        <f>_FV(Table2[[#This Row],[Stock]],"52 week high",TRUE)</f>
        <v>285.63</v>
      </c>
      <c r="F12" s="12">
        <f>_FV(Table2[[#This Row],[Stock]],"Change")</f>
        <v>2.41</v>
      </c>
      <c r="G12" s="29">
        <f>_FV(Table2[[#This Row],[Stock]],"Change (%)",TRUE)</f>
        <v>8.6809999999999995E-3</v>
      </c>
      <c r="H12" s="13" t="s">
        <v>0</v>
      </c>
      <c r="I12" s="12">
        <f>Table2[[#This Row],[Price]]*Table2[[#This Row],[Shares ]]+Table2[[#This Row],[Change]]</f>
        <v>2802.81</v>
      </c>
      <c r="J12" s="20">
        <f>Table2[[#This Row],[Shares ]]*Table2[[#This Row],[Price]]</f>
        <v>2800.4</v>
      </c>
      <c r="M12" s="1"/>
      <c r="N12" s="1"/>
      <c r="O12" s="1"/>
    </row>
    <row r="13" spans="1:15" x14ac:dyDescent="0.25">
      <c r="A13" s="28" t="e" vm="4">
        <v>#VALUE!</v>
      </c>
      <c r="B13" s="10">
        <v>50</v>
      </c>
      <c r="C13" s="11">
        <f>_FV(Table2[[#This Row],[Stock]],"Price")</f>
        <v>230.12</v>
      </c>
      <c r="D13" s="10">
        <f>_FV(Table2[[#This Row],[Stock]],"Volume")</f>
        <v>14170112</v>
      </c>
      <c r="E13" s="12">
        <f>_FV(Table2[[#This Row],[Stock]],"52 week high",TRUE)</f>
        <v>250.15</v>
      </c>
      <c r="F13" s="12">
        <f>_FV(Table2[[#This Row],[Stock]],"Change")</f>
        <v>-3.38</v>
      </c>
      <c r="G13" s="29">
        <f>_FV(Table2[[#This Row],[Stock]],"Change (%)",TRUE)</f>
        <v>-1.4475E-2</v>
      </c>
      <c r="H13" s="13" t="s">
        <v>10</v>
      </c>
      <c r="I13" s="12">
        <f>Table2[[#This Row],[Price]]*Table2[[#This Row],[Shares ]]+Table2[[#This Row],[Change]]</f>
        <v>11502.62</v>
      </c>
      <c r="J13" s="20">
        <f>Table2[[#This Row],[Shares ]]*Table2[[#This Row],[Price]]</f>
        <v>11506</v>
      </c>
      <c r="L13" s="33" t="s">
        <v>1</v>
      </c>
      <c r="M13" s="33" t="s">
        <v>12</v>
      </c>
      <c r="N13" s="33" t="s">
        <v>8</v>
      </c>
      <c r="O13" s="33" t="s">
        <v>13</v>
      </c>
    </row>
    <row r="14" spans="1:15" x14ac:dyDescent="0.25">
      <c r="A14" s="28" t="e" vm="5">
        <v>#VALUE!</v>
      </c>
      <c r="B14" s="10">
        <v>60</v>
      </c>
      <c r="C14" s="11">
        <f>_FV(Table2[[#This Row],[Stock]],"Price")</f>
        <v>89.11</v>
      </c>
      <c r="D14" s="10">
        <f>_FV(Table2[[#This Row],[Stock]],"Volume")</f>
        <v>6787341</v>
      </c>
      <c r="E14" s="12">
        <f>_FV(Table2[[#This Row],[Stock]],"52 week high",TRUE)</f>
        <v>125.27</v>
      </c>
      <c r="F14" s="12">
        <f>_FV(Table2[[#This Row],[Stock]],"Change")</f>
        <v>-1.93</v>
      </c>
      <c r="G14" s="29">
        <f>_FV(Table2[[#This Row],[Stock]],"Change (%)",TRUE)</f>
        <v>-2.1198999999999999E-2</v>
      </c>
      <c r="H14" s="13" t="s">
        <v>9</v>
      </c>
      <c r="I14" s="12">
        <f>Table2[[#This Row],[Price]]*Table2[[#This Row],[Shares ]]+Table2[[#This Row],[Change]]</f>
        <v>5344.67</v>
      </c>
      <c r="J14" s="20">
        <f>Table2[[#This Row],[Shares ]]*Table2[[#This Row],[Price]]</f>
        <v>5346.6</v>
      </c>
      <c r="L14" s="2" t="s">
        <v>0</v>
      </c>
      <c r="M14" s="5">
        <v>0.4</v>
      </c>
      <c r="N14" s="6">
        <f>SUMIF(Table2[Category],Table38[[#This Row],[Category]],Table2[Market Value])</f>
        <v>32269.5</v>
      </c>
      <c r="O14" s="7">
        <f>Table38[[#This Row],[Equity]]/SUBTOTAL(109,Table38[Equity])</f>
        <v>0.54250181775388662</v>
      </c>
    </row>
    <row r="15" spans="1:15" x14ac:dyDescent="0.25">
      <c r="A15" s="28" t="e" vm="6">
        <v>#VALUE!</v>
      </c>
      <c r="B15" s="10">
        <v>40</v>
      </c>
      <c r="C15" s="11">
        <f>_FV(Table2[[#This Row],[Stock]],"Price")</f>
        <v>30.41</v>
      </c>
      <c r="D15" s="10">
        <f>_FV(Table2[[#This Row],[Stock]],"Volume")</f>
        <v>4065795</v>
      </c>
      <c r="E15" s="12">
        <f>_FV(Table2[[#This Row],[Stock]],"52 week high",TRUE)</f>
        <v>64.23</v>
      </c>
      <c r="F15" s="12">
        <f>_FV(Table2[[#This Row],[Stock]],"Change")</f>
        <v>-0.35</v>
      </c>
      <c r="G15" s="29">
        <f>_FV(Table2[[#This Row],[Stock]],"Change (%)",TRUE)</f>
        <v>-1.1377999999999999E-2</v>
      </c>
      <c r="H15" s="13" t="s">
        <v>9</v>
      </c>
      <c r="I15" s="12">
        <f>Table2[[#This Row],[Price]]*Table2[[#This Row],[Shares ]]+Table2[[#This Row],[Change]]</f>
        <v>1216.0500000000002</v>
      </c>
      <c r="J15" s="20">
        <f>Table2[[#This Row],[Shares ]]*Table2[[#This Row],[Price]]</f>
        <v>1216.4000000000001</v>
      </c>
      <c r="L15" s="2" t="s">
        <v>9</v>
      </c>
      <c r="M15" s="5">
        <v>0.15</v>
      </c>
      <c r="N15" s="6">
        <f>SUMIF(Table2[Category],Table38[[#This Row],[Category]],Table2[Market Value])</f>
        <v>6560.72</v>
      </c>
      <c r="O15" s="7">
        <f>Table38[[#This Row],[Equity]]/SUBTOTAL(109,Table38[Equity])</f>
        <v>0.11029617830379396</v>
      </c>
    </row>
    <row r="16" spans="1:15" x14ac:dyDescent="0.25">
      <c r="A16" s="28" t="e" vm="7">
        <v>#VALUE!</v>
      </c>
      <c r="B16" s="10">
        <v>150</v>
      </c>
      <c r="C16" s="11">
        <f>_FV(Table2[[#This Row],[Stock]],"Price")</f>
        <v>61</v>
      </c>
      <c r="D16" s="10">
        <f>_FV(Table2[[#This Row],[Stock]],"Volume")</f>
        <v>13111772</v>
      </c>
      <c r="E16" s="12">
        <f>_FV(Table2[[#This Row],[Stock]],"52 week high",TRUE)</f>
        <v>93.447500000000005</v>
      </c>
      <c r="F16" s="12">
        <f>_FV(Table2[[#This Row],[Stock]],"Change")</f>
        <v>-0.09</v>
      </c>
      <c r="G16" s="29">
        <f>_FV(Table2[[#This Row],[Stock]],"Change (%)",TRUE)</f>
        <v>-1.4729999999999999E-3</v>
      </c>
      <c r="H16" s="13" t="s">
        <v>11</v>
      </c>
      <c r="I16" s="12">
        <f>Table2[[#This Row],[Price]]*Table2[[#This Row],[Shares ]]+Table2[[#This Row],[Change]]</f>
        <v>9149.91</v>
      </c>
      <c r="J16" s="20">
        <f>Table2[[#This Row],[Shares ]]*Table2[[#This Row],[Price]]</f>
        <v>9150</v>
      </c>
      <c r="L16" s="2" t="s">
        <v>10</v>
      </c>
      <c r="M16" s="5">
        <v>0.2</v>
      </c>
      <c r="N16" s="6">
        <f>SUMIF(Table2[Category],Table38[[#This Row],[Category]],Table2[Market Value])</f>
        <v>11502.62</v>
      </c>
      <c r="O16" s="7">
        <f>Table38[[#This Row],[Equity]]/SUBTOTAL(109,Table38[Equity])</f>
        <v>0.19337740773585621</v>
      </c>
    </row>
    <row r="17" spans="1:15" x14ac:dyDescent="0.25">
      <c r="A17" s="28" t="s">
        <v>7</v>
      </c>
      <c r="B17" s="10">
        <f>SUM(Table2[[Shares ]])</f>
        <v>330</v>
      </c>
      <c r="C17" s="27"/>
      <c r="D17" s="10"/>
      <c r="E17" s="12"/>
      <c r="F17" s="12">
        <f>SUBTOTAL(109,Table2[Change])</f>
        <v>-66.45</v>
      </c>
      <c r="G17" s="42">
        <f>SUBTOTAL(109,Table2[Change (%)])</f>
        <v>-8.0835000000000004E-2</v>
      </c>
      <c r="H17" s="13"/>
      <c r="I17" s="12">
        <f>SUM(Table2[Market Value])</f>
        <v>59482.75</v>
      </c>
      <c r="J17" s="12">
        <f>SUBTOTAL(109,Table2[Face Value])</f>
        <v>59549.2</v>
      </c>
      <c r="L17" s="2" t="s">
        <v>11</v>
      </c>
      <c r="M17" s="5">
        <v>0.2</v>
      </c>
      <c r="N17" s="6">
        <f>SUMIF(Table2[Category],Table38[[#This Row],[Category]],Table2[Market Value])</f>
        <v>9149.91</v>
      </c>
      <c r="O17" s="7">
        <f>Table38[[#This Row],[Equity]]/SUBTOTAL(109,Table38[Equity])</f>
        <v>0.15382459620646322</v>
      </c>
    </row>
    <row r="29" spans="1:15" x14ac:dyDescent="0.25">
      <c r="A29" s="25"/>
      <c r="B29" s="25"/>
      <c r="C29" s="25"/>
      <c r="D29" s="25"/>
    </row>
    <row r="30" spans="1:15" x14ac:dyDescent="0.25">
      <c r="A30" s="25"/>
      <c r="B30" s="25"/>
      <c r="C30" s="26"/>
      <c r="D30" s="26"/>
    </row>
    <row r="31" spans="1:15" x14ac:dyDescent="0.25">
      <c r="B31" s="25"/>
      <c r="C31" s="26"/>
      <c r="D31" s="22"/>
    </row>
  </sheetData>
  <conditionalFormatting sqref="O14">
    <cfRule type="cellIs" dxfId="40" priority="3" operator="equal">
      <formula>0.4</formula>
    </cfRule>
  </conditionalFormatting>
  <dataValidations count="1">
    <dataValidation type="list" allowBlank="1" showInputMessage="1" showErrorMessage="1" sqref="H11:H16" xr:uid="{E61F5DD2-3AA7-4208-947A-A95A37240D24}">
      <formula1>Category</formula1>
    </dataValidation>
  </dataValidations>
  <pageMargins left="0.7" right="0.7" top="0.75" bottom="0.75" header="0.3" footer="0.3"/>
  <pageSetup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iconSet" priority="10" id="{B6B31401-9573-47D7-A16A-E0F9A560E355}">
            <x14:iconSet iconSet="3Triangles" custom="1">
              <x14:cfvo type="percent">
                <xm:f>0</xm:f>
              </x14:cfvo>
              <x14:cfvo type="num">
                <xm:f>0.01</xm:f>
              </x14:cfvo>
              <x14:cfvo type="num">
                <xm:f>0.01</xm:f>
              </x14:cfvo>
              <x14:cfIcon iconSet="3Triangles" iconId="0"/>
              <x14:cfIcon iconSet="NoIcons" iconId="0"/>
              <x14:cfIcon iconSet="3Triangles" iconId="2"/>
            </x14:iconSet>
          </x14:cfRule>
          <xm:sqref>I21:I1048576 L10:L11 F11:F17 I18</xm:sqref>
        </x14:conditionalFormatting>
        <x14:conditionalFormatting xmlns:xm="http://schemas.microsoft.com/office/excel/2006/main">
          <x14:cfRule type="iconSet" priority="6" id="{6159B71A-7E13-4025-AB97-E06C8C4211DB}">
            <x14:iconSet iconSet="3Triangles" custom="1">
              <x14:cfvo type="percent">
                <xm:f>0</xm:f>
              </x14:cfvo>
              <x14:cfvo type="num">
                <xm:f>0.01</xm:f>
              </x14:cfvo>
              <x14:cfvo type="num">
                <xm:f>0.01</xm:f>
              </x14:cfvo>
              <x14:cfIcon iconSet="3Triangles" iconId="0"/>
              <x14:cfIcon iconSet="NoIcons" iconId="0"/>
              <x14:cfIcon iconSet="3Triangles" iconId="2"/>
            </x14:iconSet>
          </x14:cfRule>
          <xm:sqref>C8</xm:sqref>
        </x14:conditionalFormatting>
        <x14:conditionalFormatting xmlns:xm="http://schemas.microsoft.com/office/excel/2006/main">
          <x14:cfRule type="iconSet" priority="5" id="{8DAA3117-4091-4B94-8286-D7AFE07FB27E}">
            <x14:iconSet iconSet="3Triangles" custom="1">
              <x14:cfvo type="percent">
                <xm:f>0</xm:f>
              </x14:cfvo>
              <x14:cfvo type="num">
                <xm:f>0.01</xm:f>
              </x14:cfvo>
              <x14:cfvo type="num">
                <xm:f>0.01</xm:f>
              </x14:cfvo>
              <x14:cfIcon iconSet="3Triangles" iconId="0"/>
              <x14:cfIcon iconSet="NoIcons" iconId="0"/>
              <x14:cfIcon iconSet="3Triangles" iconId="2"/>
            </x14:iconSet>
          </x14:cfRule>
          <xm:sqref>F8</xm:sqref>
        </x14:conditionalFormatting>
        <x14:conditionalFormatting xmlns:xm="http://schemas.microsoft.com/office/excel/2006/main">
          <x14:cfRule type="iconSet" priority="4" id="{A3C2DB77-D106-4C92-8AE1-DC3985635312}">
            <x14:iconSet iconSet="3Triangles" custom="1">
              <x14:cfvo type="percent">
                <xm:f>0</xm:f>
              </x14:cfvo>
              <x14:cfvo type="num">
                <xm:f>0.01</xm:f>
              </x14:cfvo>
              <x14:cfvo type="num">
                <xm:f>0.01</xm:f>
              </x14:cfvo>
              <x14:cfIcon iconSet="3Triangles" iconId="0"/>
              <x14:cfIcon iconSet="NoIcons" iconId="0"/>
              <x14:cfIcon iconSet="3Triangles" iconId="2"/>
            </x14:iconSet>
          </x14:cfRule>
          <xm:sqref>G8</xm:sqref>
        </x14:conditionalFormatting>
        <x14:conditionalFormatting xmlns:xm="http://schemas.microsoft.com/office/excel/2006/main">
          <x14:cfRule type="iconSet" priority="274" id="{013BBF76-31A4-478E-93ED-8B6C04465C45}">
            <x14:iconSet iconSet="3Triangles" custom="1">
              <x14:cfvo type="percent">
                <xm:f>0</xm:f>
              </x14:cfvo>
              <x14:cfvo type="num">
                <xm:f>0.01</xm:f>
              </x14:cfvo>
              <x14:cfvo type="num">
                <xm:f>0.01</xm:f>
              </x14:cfvo>
              <x14:cfIcon iconSet="3Triangles" iconId="0"/>
              <x14:cfIcon iconSet="NoIcons" iconId="0"/>
              <x14:cfIcon iconSet="3Triangles" iconId="2"/>
            </x14:iconSet>
          </x14:cfRule>
          <xm:sqref>J19:J1048576 J1:J4 G11:G16</xm:sqref>
        </x14:conditionalFormatting>
        <x14:conditionalFormatting xmlns:xm="http://schemas.microsoft.com/office/excel/2006/main">
          <x14:cfRule type="iconSet" priority="2" id="{1FA41582-39E8-43EB-9469-B8C52FF5A5EF}">
            <x14:iconSet iconSet="3Triangles" custom="1">
              <x14:cfvo type="percent">
                <xm:f>0</xm:f>
              </x14:cfvo>
              <x14:cfvo type="num">
                <xm:f>0.01</xm:f>
              </x14:cfvo>
              <x14:cfvo type="num">
                <xm:f>0.01</xm:f>
              </x14:cfvo>
              <x14:cfIcon iconSet="3Triangles" iconId="0"/>
              <x14:cfIcon iconSet="NoIcons" iconId="0"/>
              <x14:cfIcon iconSet="3Triangles" iconId="2"/>
            </x14:iconSet>
          </x14:cfRule>
          <xm:sqref>G17</xm:sqref>
        </x14:conditionalFormatting>
        <x14:conditionalFormatting xmlns:xm="http://schemas.microsoft.com/office/excel/2006/main">
          <x14:cfRule type="iconSet" priority="1" id="{15B4F2B7-0DCA-4551-A100-F6F8DCEE3EC3}">
            <x14:iconSet iconSet="3Triangles" custom="1">
              <x14:cfvo type="percent">
                <xm:f>0</xm:f>
              </x14:cfvo>
              <x14:cfvo type="num">
                <xm:f>0.01</xm:f>
              </x14:cfvo>
              <x14:cfvo type="num">
                <xm:f>0.01</xm:f>
              </x14:cfvo>
              <x14:cfIcon iconSet="3Triangles" iconId="0"/>
              <x14:cfIcon iconSet="NoIcons" iconId="0"/>
              <x14:cfIcon iconSet="3Triangles" iconId="2"/>
            </x14:iconSet>
          </x14:cfRule>
          <xm:sqref>I17</xm:sqref>
        </x14:conditionalFormatting>
        <x14:conditionalFormatting xmlns:xm="http://schemas.microsoft.com/office/excel/2006/main">
          <x14:cfRule type="iconSet" priority="285" id="{6BD588E4-A88D-4C1D-8AFD-988AB1DCEA51}">
            <x14:iconSet iconSet="3Triangles" custom="1">
              <x14:cfvo type="percent">
                <xm:f>0</xm:f>
              </x14:cfvo>
              <x14:cfvo type="num">
                <xm:f>0.01</xm:f>
              </x14:cfvo>
              <x14:cfvo type="num">
                <xm:f>0.01</xm:f>
              </x14:cfvo>
              <x14:cfIcon iconSet="3Triangles" iconId="0"/>
              <x14:cfIcon iconSet="NoIcons" iconId="0"/>
              <x14:cfIcon iconSet="3Triangles" iconId="2"/>
            </x14:iconSet>
          </x14:cfRule>
          <xm:sqref>C11:C16</xm:sqref>
        </x14:conditionalFormatting>
        <x14:conditionalFormatting xmlns:xm="http://schemas.microsoft.com/office/excel/2006/main">
          <x14:cfRule type="iconSet" priority="286" id="{B7DDAD70-8843-4EBC-A205-07A68D807C46}">
            <x14:iconSet iconSet="3Triangles" custom="1">
              <x14:cfvo type="percent">
                <xm:f>0</xm:f>
              </x14:cfvo>
              <x14:cfvo type="num">
                <xm:f>0.01</xm:f>
              </x14:cfvo>
              <x14:cfvo type="num">
                <xm:f>0.01</xm:f>
              </x14:cfvo>
              <x14:cfIcon iconSet="3Triangles" iconId="0"/>
              <x14:cfIcon iconSet="NoIcons" iconId="0"/>
              <x14:cfIcon iconSet="3Triangles" iconId="2"/>
            </x14:iconSet>
          </x14:cfRule>
          <xm:sqref>I11:I16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C835E-9543-40CB-87A8-9267C8D3F938}">
  <sheetPr codeName="Sheet3"/>
  <dimension ref="A7:Q17"/>
  <sheetViews>
    <sheetView showGridLines="0" workbookViewId="0">
      <selection activeCell="G26" sqref="G26"/>
    </sheetView>
  </sheetViews>
  <sheetFormatPr defaultRowHeight="15" x14ac:dyDescent="0.25"/>
  <cols>
    <col min="1" max="1" width="42.42578125" customWidth="1"/>
    <col min="2" max="2" width="17.85546875" customWidth="1"/>
    <col min="3" max="3" width="16.5703125" customWidth="1"/>
    <col min="4" max="4" width="15.28515625" customWidth="1"/>
    <col min="5" max="5" width="17.140625" customWidth="1"/>
    <col min="6" max="6" width="14.28515625" customWidth="1"/>
    <col min="7" max="7" width="16.85546875" customWidth="1"/>
    <col min="8" max="8" width="14" customWidth="1"/>
    <col min="14" max="14" width="16.42578125" customWidth="1"/>
    <col min="15" max="15" width="16.140625" customWidth="1"/>
    <col min="16" max="16" width="14.7109375" customWidth="1"/>
    <col min="17" max="17" width="15.42578125" customWidth="1"/>
  </cols>
  <sheetData>
    <row r="7" spans="1:17" x14ac:dyDescent="0.25">
      <c r="A7" s="9" t="s">
        <v>19</v>
      </c>
      <c r="B7" s="9" t="s">
        <v>17</v>
      </c>
      <c r="C7" s="9" t="s">
        <v>2</v>
      </c>
      <c r="D7" s="9" t="s">
        <v>18</v>
      </c>
      <c r="E7" s="9" t="s">
        <v>4</v>
      </c>
      <c r="F7" s="9" t="s">
        <v>5</v>
      </c>
      <c r="G7" s="9" t="s">
        <v>6</v>
      </c>
    </row>
    <row r="8" spans="1:17" x14ac:dyDescent="0.25">
      <c r="A8" s="2" t="e" vm="1">
        <v>#VALUE!</v>
      </c>
      <c r="B8" s="8" t="str">
        <f>_FV(Table69[[#This Row],[Indice]],"Country/region",TRUE)</f>
        <v>US</v>
      </c>
      <c r="C8" s="11">
        <f>_FV(Table69[[#This Row],[Indice]],"Price")</f>
        <v>10402.092000000001</v>
      </c>
      <c r="D8" s="3">
        <f>_FV(Table69[[#This Row],[Indice]],"High")</f>
        <v>10523.64</v>
      </c>
      <c r="E8" s="11">
        <f>_FV(Table69[[#This Row],[Indice]],"52 week high",TRUE)</f>
        <v>10839.928</v>
      </c>
      <c r="F8" s="11">
        <f>_FV(Table69[[#This Row],[Indice]],"Change")</f>
        <v>-134.17500000000001</v>
      </c>
      <c r="G8" s="11">
        <f>_FV(Table69[[#This Row],[Indice]],"Change (%)",TRUE)</f>
        <v>-1.2735000000000002E-2</v>
      </c>
    </row>
    <row r="10" spans="1:17" x14ac:dyDescent="0.25">
      <c r="A10" s="9" t="s">
        <v>14</v>
      </c>
      <c r="B10" s="9" t="s">
        <v>16</v>
      </c>
      <c r="C10" s="9" t="s">
        <v>2</v>
      </c>
      <c r="D10" s="9" t="s">
        <v>3</v>
      </c>
      <c r="E10" s="9" t="s">
        <v>4</v>
      </c>
      <c r="F10" s="9" t="s">
        <v>5</v>
      </c>
      <c r="G10" s="9" t="s">
        <v>6</v>
      </c>
      <c r="H10" s="17" t="s">
        <v>8</v>
      </c>
      <c r="N10" s="34" t="s">
        <v>38</v>
      </c>
    </row>
    <row r="11" spans="1:17" x14ac:dyDescent="0.25">
      <c r="A11" s="8"/>
      <c r="B11" s="8"/>
      <c r="C11" s="16"/>
      <c r="D11" s="10"/>
      <c r="E11" s="12"/>
      <c r="F11" s="12"/>
      <c r="G11" s="12"/>
      <c r="H11" s="21"/>
      <c r="N11" s="3">
        <f>Table5[Investing]</f>
        <v>99933.55</v>
      </c>
    </row>
    <row r="12" spans="1:17" x14ac:dyDescent="0.25">
      <c r="A12" s="1" t="s">
        <v>7</v>
      </c>
      <c r="B12" s="1">
        <f>SUBTOTAL(109,Table4[Shares])</f>
        <v>0</v>
      </c>
      <c r="C12" s="23"/>
      <c r="D12" s="24"/>
      <c r="E12" s="20"/>
      <c r="F12" s="20"/>
      <c r="G12" s="20"/>
      <c r="H12" s="15">
        <f>SUBTOTAL(109,Table4[Equity])</f>
        <v>0</v>
      </c>
    </row>
    <row r="13" spans="1:17" x14ac:dyDescent="0.25">
      <c r="N13" s="33" t="s">
        <v>1</v>
      </c>
      <c r="O13" s="33" t="s">
        <v>12</v>
      </c>
      <c r="P13" s="33" t="s">
        <v>8</v>
      </c>
      <c r="Q13" s="33" t="s">
        <v>13</v>
      </c>
    </row>
    <row r="14" spans="1:17" x14ac:dyDescent="0.25">
      <c r="N14" s="2" t="s">
        <v>0</v>
      </c>
      <c r="O14" s="5">
        <v>0.4</v>
      </c>
      <c r="P14" s="6">
        <f>SUMIF(Table2[Category],Table3[[#This Row],[Category]],Table2[Market Value])</f>
        <v>32269.5</v>
      </c>
      <c r="Q14" s="7">
        <f>Table3[[#This Row],[Equity]]/SUBTOTAL(109,Table3[Equity])</f>
        <v>0.54250181775388662</v>
      </c>
    </row>
    <row r="15" spans="1:17" x14ac:dyDescent="0.25">
      <c r="N15" s="2" t="s">
        <v>9</v>
      </c>
      <c r="O15" s="5">
        <v>0.15</v>
      </c>
      <c r="P15" s="6">
        <f>SUMIF(Table2[Category],Table3[[#This Row],[Category]],Table2[Market Value])</f>
        <v>6560.72</v>
      </c>
      <c r="Q15" s="7">
        <f>Table3[[#This Row],[Equity]]/SUBTOTAL(109,Table3[Equity])</f>
        <v>0.11029617830379396</v>
      </c>
    </row>
    <row r="16" spans="1:17" x14ac:dyDescent="0.25">
      <c r="N16" s="2" t="s">
        <v>10</v>
      </c>
      <c r="O16" s="5">
        <v>0.2</v>
      </c>
      <c r="P16" s="6">
        <f>SUMIF(Table2[Category],Table3[[#This Row],[Category]],Table2[Market Value])</f>
        <v>11502.62</v>
      </c>
      <c r="Q16" s="7">
        <f>Table3[[#This Row],[Equity]]/SUBTOTAL(109,Table3[Equity])</f>
        <v>0.19337740773585621</v>
      </c>
    </row>
    <row r="17" spans="14:17" x14ac:dyDescent="0.25">
      <c r="N17" s="2" t="s">
        <v>11</v>
      </c>
      <c r="O17" s="5">
        <v>0.2</v>
      </c>
      <c r="P17" s="6">
        <f>SUMIF(Table2[Category],Table3[[#This Row],[Category]],Table2[Market Value])</f>
        <v>9149.91</v>
      </c>
      <c r="Q17" s="7">
        <f>Table3[[#This Row],[Equity]]/SUBTOTAL(109,Table3[Equity])</f>
        <v>0.15382459620646322</v>
      </c>
    </row>
  </sheetData>
  <conditionalFormatting sqref="Q14">
    <cfRule type="cellIs" dxfId="39" priority="7" operator="equal">
      <formula>0.4</formula>
    </cfRule>
  </conditionalFormatting>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8" id="{171C0896-092E-4BC8-884D-A04444A736E9}">
            <x14:iconSet iconSet="3Triangles" custom="1">
              <x14:cfvo type="percent">
                <xm:f>0</xm:f>
              </x14:cfvo>
              <x14:cfvo type="num">
                <xm:f>0.01</xm:f>
              </x14:cfvo>
              <x14:cfvo type="num">
                <xm:f>0.01</xm:f>
              </x14:cfvo>
              <x14:cfIcon iconSet="3Triangles" iconId="0"/>
              <x14:cfIcon iconSet="NoIcons" iconId="0"/>
              <x14:cfIcon iconSet="3Triangles" iconId="2"/>
            </x14:iconSet>
          </x14:cfRule>
          <xm:sqref>N10:N11</xm:sqref>
        </x14:conditionalFormatting>
        <x14:conditionalFormatting xmlns:xm="http://schemas.microsoft.com/office/excel/2006/main">
          <x14:cfRule type="iconSet" priority="6" id="{39294011-7259-44FA-8097-DFEEFE1D1A7A}">
            <x14:iconSet iconSet="3Triangles" custom="1">
              <x14:cfvo type="percent">
                <xm:f>0</xm:f>
              </x14:cfvo>
              <x14:cfvo type="num">
                <xm:f>0.01</xm:f>
              </x14:cfvo>
              <x14:cfvo type="num">
                <xm:f>0.01</xm:f>
              </x14:cfvo>
              <x14:cfIcon iconSet="3Triangles" iconId="0"/>
              <x14:cfIcon iconSet="NoIcons" iconId="0"/>
              <x14:cfIcon iconSet="3Triangles" iconId="2"/>
            </x14:iconSet>
          </x14:cfRule>
          <xm:sqref>C8</xm:sqref>
        </x14:conditionalFormatting>
        <x14:conditionalFormatting xmlns:xm="http://schemas.microsoft.com/office/excel/2006/main">
          <x14:cfRule type="iconSet" priority="5" id="{2F6D6AA7-A6E9-4215-9514-CE8457473B17}">
            <x14:iconSet iconSet="3Triangles" custom="1">
              <x14:cfvo type="percent">
                <xm:f>0</xm:f>
              </x14:cfvo>
              <x14:cfvo type="num">
                <xm:f>0.01</xm:f>
              </x14:cfvo>
              <x14:cfvo type="num">
                <xm:f>0.01</xm:f>
              </x14:cfvo>
              <x14:cfIcon iconSet="3Triangles" iconId="0"/>
              <x14:cfIcon iconSet="NoIcons" iconId="0"/>
              <x14:cfIcon iconSet="3Triangles" iconId="2"/>
            </x14:iconSet>
          </x14:cfRule>
          <xm:sqref>F8</xm:sqref>
        </x14:conditionalFormatting>
        <x14:conditionalFormatting xmlns:xm="http://schemas.microsoft.com/office/excel/2006/main">
          <x14:cfRule type="iconSet" priority="4" id="{B2554B1C-328E-4D25-AB94-3ECE5A86D871}">
            <x14:iconSet iconSet="3Triangles" custom="1">
              <x14:cfvo type="percent">
                <xm:f>0</xm:f>
              </x14:cfvo>
              <x14:cfvo type="num">
                <xm:f>0.01</xm:f>
              </x14:cfvo>
              <x14:cfvo type="num">
                <xm:f>0.01</xm:f>
              </x14:cfvo>
              <x14:cfIcon iconSet="3Triangles" iconId="0"/>
              <x14:cfIcon iconSet="NoIcons" iconId="0"/>
              <x14:cfIcon iconSet="3Triangles" iconId="2"/>
            </x14:iconSet>
          </x14:cfRule>
          <xm:sqref>G8</xm:sqref>
        </x14:conditionalFormatting>
        <x14:conditionalFormatting xmlns:xm="http://schemas.microsoft.com/office/excel/2006/main">
          <x14:cfRule type="iconSet" priority="290" id="{AB2BA466-1D4C-4A13-8DE2-FAA20E749500}">
            <x14:iconSet iconSet="3Triangles" custom="1">
              <x14:cfvo type="percent">
                <xm:f>0</xm:f>
              </x14:cfvo>
              <x14:cfvo type="num">
                <xm:f>0.01</xm:f>
              </x14:cfvo>
              <x14:cfvo type="num">
                <xm:f>0.01</xm:f>
              </x14:cfvo>
              <x14:cfIcon iconSet="3Triangles" iconId="0"/>
              <x14:cfIcon iconSet="NoIcons" iconId="0"/>
              <x14:cfIcon iconSet="3Triangles" iconId="2"/>
            </x14:iconSet>
          </x14:cfRule>
          <xm:sqref>C11</xm:sqref>
        </x14:conditionalFormatting>
        <x14:conditionalFormatting xmlns:xm="http://schemas.microsoft.com/office/excel/2006/main">
          <x14:cfRule type="iconSet" priority="291" id="{33A0C550-1E54-4A60-8607-0F7D8470FE03}">
            <x14:iconSet iconSet="3Triangles" custom="1">
              <x14:cfvo type="percent">
                <xm:f>0</xm:f>
              </x14:cfvo>
              <x14:cfvo type="num">
                <xm:f>0.01</xm:f>
              </x14:cfvo>
              <x14:cfvo type="num">
                <xm:f>0.01</xm:f>
              </x14:cfvo>
              <x14:cfIcon iconSet="3Triangles" iconId="0"/>
              <x14:cfIcon iconSet="NoIcons" iconId="0"/>
              <x14:cfIcon iconSet="3Triangles" iconId="2"/>
            </x14:iconSet>
          </x14:cfRule>
          <xm:sqref>F11</xm:sqref>
        </x14:conditionalFormatting>
        <x14:conditionalFormatting xmlns:xm="http://schemas.microsoft.com/office/excel/2006/main">
          <x14:cfRule type="iconSet" priority="292" id="{9DF3B796-8959-4233-ADDE-BE418EDC3251}">
            <x14:iconSet iconSet="3Triangles" custom="1">
              <x14:cfvo type="percent">
                <xm:f>0</xm:f>
              </x14:cfvo>
              <x14:cfvo type="num">
                <xm:f>0.01</xm:f>
              </x14:cfvo>
              <x14:cfvo type="num">
                <xm:f>0.01</xm:f>
              </x14:cfvo>
              <x14:cfIcon iconSet="3Triangles" iconId="0"/>
              <x14:cfIcon iconSet="NoIcons" iconId="0"/>
              <x14:cfIcon iconSet="3Triangles" iconId="2"/>
            </x14:iconSet>
          </x14:cfRule>
          <xm:sqref>G11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64918-DF5E-4B14-9FF1-75BB8D7EA403}">
  <sheetPr codeName="Sheet5"/>
  <dimension ref="A6:BC60"/>
  <sheetViews>
    <sheetView showGridLines="0" topLeftCell="AD7" zoomScaleNormal="100" workbookViewId="0">
      <selection activeCell="AN36" sqref="AN36"/>
    </sheetView>
  </sheetViews>
  <sheetFormatPr defaultRowHeight="15" x14ac:dyDescent="0.25"/>
  <cols>
    <col min="1" max="1" width="9.85546875" bestFit="1" customWidth="1"/>
    <col min="2" max="4" width="8.140625" bestFit="1" customWidth="1"/>
    <col min="5" max="5" width="9.140625" bestFit="1" customWidth="1"/>
    <col min="6" max="6" width="13.5703125" bestFit="1" customWidth="1"/>
    <col min="7" max="7" width="10.28515625" bestFit="1" customWidth="1"/>
    <col min="9" max="9" width="9.85546875" bestFit="1" customWidth="1"/>
    <col min="10" max="10" width="8.140625" bestFit="1" customWidth="1"/>
    <col min="11" max="11" width="7.28515625" bestFit="1" customWidth="1"/>
    <col min="12" max="12" width="7.140625" bestFit="1" customWidth="1"/>
    <col min="13" max="13" width="9.140625" bestFit="1" customWidth="1"/>
    <col min="14" max="14" width="13.5703125" bestFit="1" customWidth="1"/>
    <col min="15" max="15" width="10.28515625" bestFit="1" customWidth="1"/>
    <col min="17" max="17" width="9.85546875" bestFit="1" customWidth="1"/>
    <col min="18" max="18" width="8.140625" bestFit="1" customWidth="1"/>
    <col min="19" max="19" width="7.28515625" bestFit="1" customWidth="1"/>
    <col min="20" max="20" width="7.140625" bestFit="1" customWidth="1"/>
    <col min="21" max="21" width="9.140625" bestFit="1" customWidth="1"/>
    <col min="22" max="22" width="13.5703125" bestFit="1" customWidth="1"/>
    <col min="23" max="23" width="10.28515625" bestFit="1" customWidth="1"/>
    <col min="25" max="25" width="9.85546875" bestFit="1" customWidth="1"/>
    <col min="26" max="26" width="8.140625" bestFit="1" customWidth="1"/>
    <col min="27" max="27" width="7.28515625" bestFit="1" customWidth="1"/>
    <col min="28" max="28" width="7.140625" bestFit="1" customWidth="1"/>
    <col min="29" max="29" width="9.140625" bestFit="1" customWidth="1"/>
    <col min="30" max="30" width="13.5703125" bestFit="1" customWidth="1"/>
    <col min="31" max="31" width="10.28515625" bestFit="1" customWidth="1"/>
    <col min="33" max="33" width="9.85546875" bestFit="1" customWidth="1"/>
    <col min="34" max="34" width="8.140625" bestFit="1" customWidth="1"/>
    <col min="35" max="35" width="7.28515625" bestFit="1" customWidth="1"/>
    <col min="36" max="36" width="6.85546875" bestFit="1" customWidth="1"/>
    <col min="37" max="37" width="9.140625" bestFit="1" customWidth="1"/>
    <col min="38" max="38" width="13.5703125" bestFit="1" customWidth="1"/>
    <col min="39" max="39" width="10.28515625" bestFit="1" customWidth="1"/>
    <col min="41" max="41" width="9.85546875" bestFit="1" customWidth="1"/>
    <col min="42" max="42" width="8.140625" bestFit="1" customWidth="1"/>
    <col min="43" max="43" width="7.28515625" bestFit="1" customWidth="1"/>
    <col min="44" max="44" width="6.85546875" bestFit="1" customWidth="1"/>
    <col min="45" max="45" width="9.140625" bestFit="1" customWidth="1"/>
    <col min="46" max="46" width="13.5703125" bestFit="1" customWidth="1"/>
    <col min="47" max="47" width="10.28515625" bestFit="1" customWidth="1"/>
    <col min="49" max="49" width="9.85546875" bestFit="1" customWidth="1"/>
    <col min="50" max="53" width="9.140625" bestFit="1" customWidth="1"/>
    <col min="54" max="54" width="13.5703125" bestFit="1" customWidth="1"/>
    <col min="55" max="55" width="11.140625" bestFit="1" customWidth="1"/>
  </cols>
  <sheetData>
    <row r="6" spans="1:55" x14ac:dyDescent="0.25">
      <c r="A6" t="s">
        <v>29</v>
      </c>
      <c r="I6" t="s">
        <v>30</v>
      </c>
      <c r="Q6" t="s">
        <v>31</v>
      </c>
      <c r="Y6" t="s">
        <v>32</v>
      </c>
      <c r="AG6" t="s">
        <v>33</v>
      </c>
      <c r="AO6" t="s">
        <v>34</v>
      </c>
      <c r="AW6" t="s">
        <v>35</v>
      </c>
    </row>
    <row r="7" spans="1:55" x14ac:dyDescent="0.25">
      <c r="A7" t="s">
        <v>24</v>
      </c>
      <c r="B7" t="s">
        <v>25</v>
      </c>
      <c r="C7" t="s">
        <v>18</v>
      </c>
      <c r="D7" t="s">
        <v>26</v>
      </c>
      <c r="E7" t="s">
        <v>27</v>
      </c>
      <c r="F7" t="s">
        <v>28</v>
      </c>
      <c r="G7" t="s">
        <v>3</v>
      </c>
      <c r="I7" t="s">
        <v>24</v>
      </c>
      <c r="J7" t="s">
        <v>25</v>
      </c>
      <c r="K7" t="s">
        <v>18</v>
      </c>
      <c r="L7" t="s">
        <v>26</v>
      </c>
      <c r="M7" t="s">
        <v>27</v>
      </c>
      <c r="N7" t="s">
        <v>28</v>
      </c>
      <c r="O7" t="s">
        <v>3</v>
      </c>
      <c r="Q7" t="s">
        <v>24</v>
      </c>
      <c r="R7" t="s">
        <v>25</v>
      </c>
      <c r="S7" t="s">
        <v>18</v>
      </c>
      <c r="T7" t="s">
        <v>26</v>
      </c>
      <c r="U7" t="s">
        <v>27</v>
      </c>
      <c r="V7" t="s">
        <v>28</v>
      </c>
      <c r="W7" t="s">
        <v>3</v>
      </c>
      <c r="Y7" t="s">
        <v>24</v>
      </c>
      <c r="Z7" t="s">
        <v>25</v>
      </c>
      <c r="AA7" t="s">
        <v>18</v>
      </c>
      <c r="AB7" t="s">
        <v>26</v>
      </c>
      <c r="AC7" t="s">
        <v>27</v>
      </c>
      <c r="AD7" t="s">
        <v>28</v>
      </c>
      <c r="AE7" t="s">
        <v>3</v>
      </c>
      <c r="AG7" t="s">
        <v>24</v>
      </c>
      <c r="AH7" t="s">
        <v>25</v>
      </c>
      <c r="AI7" t="s">
        <v>18</v>
      </c>
      <c r="AJ7" t="s">
        <v>26</v>
      </c>
      <c r="AK7" t="s">
        <v>27</v>
      </c>
      <c r="AL7" t="s">
        <v>28</v>
      </c>
      <c r="AM7" t="s">
        <v>3</v>
      </c>
      <c r="AO7" t="s">
        <v>24</v>
      </c>
      <c r="AP7" t="s">
        <v>25</v>
      </c>
      <c r="AQ7" t="s">
        <v>18</v>
      </c>
      <c r="AR7" t="s">
        <v>26</v>
      </c>
      <c r="AS7" t="s">
        <v>27</v>
      </c>
      <c r="AT7" t="s">
        <v>28</v>
      </c>
      <c r="AU7" t="s">
        <v>3</v>
      </c>
      <c r="AW7" t="s">
        <v>24</v>
      </c>
      <c r="AX7" t="s">
        <v>25</v>
      </c>
      <c r="AY7" t="s">
        <v>18</v>
      </c>
      <c r="AZ7" t="s">
        <v>26</v>
      </c>
      <c r="BA7" t="s">
        <v>27</v>
      </c>
      <c r="BB7" t="s">
        <v>28</v>
      </c>
      <c r="BC7" t="s">
        <v>3</v>
      </c>
    </row>
    <row r="8" spans="1:55" x14ac:dyDescent="0.25">
      <c r="A8" s="18">
        <v>44028</v>
      </c>
      <c r="B8">
        <v>1477.16</v>
      </c>
      <c r="C8">
        <v>1531.71</v>
      </c>
      <c r="D8">
        <v>1466</v>
      </c>
      <c r="E8">
        <v>1500.64</v>
      </c>
      <c r="F8">
        <v>1500.64</v>
      </c>
      <c r="G8">
        <v>14300800</v>
      </c>
      <c r="I8" s="18">
        <v>44028</v>
      </c>
      <c r="J8">
        <v>259.85000000000002</v>
      </c>
      <c r="K8">
        <v>269.8</v>
      </c>
      <c r="L8">
        <v>258.75</v>
      </c>
      <c r="M8">
        <v>268.38</v>
      </c>
      <c r="N8">
        <v>268.38</v>
      </c>
      <c r="O8">
        <v>2535500</v>
      </c>
      <c r="Q8" s="18">
        <v>44028</v>
      </c>
      <c r="R8">
        <v>238</v>
      </c>
      <c r="S8">
        <v>241.76</v>
      </c>
      <c r="T8">
        <v>236.33</v>
      </c>
      <c r="U8">
        <v>240.93</v>
      </c>
      <c r="V8">
        <v>240.93</v>
      </c>
      <c r="W8">
        <v>18880700</v>
      </c>
      <c r="Y8" s="18">
        <v>44028</v>
      </c>
      <c r="Z8">
        <v>88.44</v>
      </c>
      <c r="AA8">
        <v>89.48</v>
      </c>
      <c r="AB8">
        <v>87.35</v>
      </c>
      <c r="AC8">
        <v>88.36</v>
      </c>
      <c r="AD8">
        <v>88.36</v>
      </c>
      <c r="AE8">
        <v>4795700</v>
      </c>
      <c r="AG8" s="18">
        <v>44028</v>
      </c>
      <c r="AH8">
        <v>31.48</v>
      </c>
      <c r="AI8">
        <v>31.61</v>
      </c>
      <c r="AJ8">
        <v>31.15</v>
      </c>
      <c r="AK8">
        <v>31.28</v>
      </c>
      <c r="AL8">
        <v>31.28</v>
      </c>
      <c r="AM8">
        <v>1879000</v>
      </c>
      <c r="AO8" s="18">
        <v>44028</v>
      </c>
      <c r="AP8">
        <v>62.3</v>
      </c>
      <c r="AQ8">
        <v>62.81</v>
      </c>
      <c r="AR8">
        <v>61.45</v>
      </c>
      <c r="AS8">
        <v>62.37</v>
      </c>
      <c r="AT8">
        <v>62.37</v>
      </c>
      <c r="AU8">
        <v>5684100</v>
      </c>
      <c r="AW8" s="18">
        <v>44028</v>
      </c>
      <c r="AX8">
        <v>10443.870000000001</v>
      </c>
      <c r="AY8">
        <v>10499.79</v>
      </c>
      <c r="AZ8">
        <v>10364.39</v>
      </c>
      <c r="BA8">
        <v>10473.83</v>
      </c>
      <c r="BB8">
        <v>10473.83</v>
      </c>
      <c r="BC8">
        <v>4237290000</v>
      </c>
    </row>
    <row r="9" spans="1:55" x14ac:dyDescent="0.25">
      <c r="A9" s="18">
        <v>44027</v>
      </c>
      <c r="B9">
        <v>1543</v>
      </c>
      <c r="C9">
        <v>1550</v>
      </c>
      <c r="D9">
        <v>1457</v>
      </c>
      <c r="E9">
        <v>1546.01</v>
      </c>
      <c r="F9">
        <v>1546.01</v>
      </c>
      <c r="G9">
        <v>16367800</v>
      </c>
      <c r="I9" s="18">
        <v>44027</v>
      </c>
      <c r="J9">
        <v>264.58</v>
      </c>
      <c r="K9">
        <v>266.42</v>
      </c>
      <c r="L9">
        <v>258.81</v>
      </c>
      <c r="M9">
        <v>259</v>
      </c>
      <c r="N9">
        <v>259</v>
      </c>
      <c r="O9">
        <v>2111200</v>
      </c>
      <c r="Q9" s="18">
        <v>44027</v>
      </c>
      <c r="R9">
        <v>241.55</v>
      </c>
      <c r="S9">
        <v>244.82</v>
      </c>
      <c r="T9">
        <v>238.05</v>
      </c>
      <c r="U9">
        <v>240.28</v>
      </c>
      <c r="V9">
        <v>240.28</v>
      </c>
      <c r="W9">
        <v>19133600</v>
      </c>
      <c r="Y9" s="18">
        <v>44027</v>
      </c>
      <c r="Z9">
        <v>90.18</v>
      </c>
      <c r="AA9">
        <v>90.19</v>
      </c>
      <c r="AB9">
        <v>88.21</v>
      </c>
      <c r="AC9">
        <v>88.89</v>
      </c>
      <c r="AD9">
        <v>88.89</v>
      </c>
      <c r="AE9">
        <v>5935200</v>
      </c>
      <c r="AG9" s="18">
        <v>44027</v>
      </c>
      <c r="AH9">
        <v>31.83</v>
      </c>
      <c r="AI9">
        <v>32.020000000000003</v>
      </c>
      <c r="AJ9">
        <v>31.51</v>
      </c>
      <c r="AK9">
        <v>31.81</v>
      </c>
      <c r="AL9">
        <v>31.81</v>
      </c>
      <c r="AM9">
        <v>2394400</v>
      </c>
      <c r="AO9" s="18">
        <v>44027</v>
      </c>
      <c r="AP9">
        <v>62.35</v>
      </c>
      <c r="AQ9">
        <v>63.22</v>
      </c>
      <c r="AR9">
        <v>62.05</v>
      </c>
      <c r="AS9">
        <v>62.94</v>
      </c>
      <c r="AT9">
        <v>62.94</v>
      </c>
      <c r="AU9">
        <v>9036900</v>
      </c>
      <c r="AW9" s="18">
        <v>44027</v>
      </c>
      <c r="AX9">
        <v>10576.72</v>
      </c>
      <c r="AY9">
        <v>10604.67</v>
      </c>
      <c r="AZ9">
        <v>10420.540000000001</v>
      </c>
      <c r="BA9">
        <v>10550.49</v>
      </c>
      <c r="BB9">
        <v>10550.49</v>
      </c>
      <c r="BC9">
        <v>4610540000</v>
      </c>
    </row>
    <row r="10" spans="1:55" x14ac:dyDescent="0.25">
      <c r="A10" s="18">
        <v>44026</v>
      </c>
      <c r="B10">
        <v>1556</v>
      </c>
      <c r="C10">
        <v>1590</v>
      </c>
      <c r="D10">
        <v>1431</v>
      </c>
      <c r="E10">
        <v>1516.8</v>
      </c>
      <c r="F10">
        <v>1516.8</v>
      </c>
      <c r="G10">
        <v>23418100</v>
      </c>
      <c r="I10" s="18">
        <v>44026</v>
      </c>
      <c r="J10">
        <v>256.24</v>
      </c>
      <c r="K10">
        <v>264.69</v>
      </c>
      <c r="L10">
        <v>255.86</v>
      </c>
      <c r="M10">
        <v>262.55</v>
      </c>
      <c r="N10">
        <v>262.55</v>
      </c>
      <c r="O10">
        <v>3038600</v>
      </c>
      <c r="Q10" s="18">
        <v>44026</v>
      </c>
      <c r="R10">
        <v>236.76</v>
      </c>
      <c r="S10">
        <v>240.33</v>
      </c>
      <c r="T10">
        <v>232.03</v>
      </c>
      <c r="U10">
        <v>239.73</v>
      </c>
      <c r="V10">
        <v>239.73</v>
      </c>
      <c r="W10">
        <v>23378100</v>
      </c>
      <c r="Y10" s="18">
        <v>44026</v>
      </c>
      <c r="Z10">
        <v>85.39</v>
      </c>
      <c r="AA10">
        <v>88.6</v>
      </c>
      <c r="AB10">
        <v>85.04</v>
      </c>
      <c r="AC10">
        <v>88.35</v>
      </c>
      <c r="AD10">
        <v>88.35</v>
      </c>
      <c r="AE10">
        <v>7440500</v>
      </c>
      <c r="AG10" s="18">
        <v>44026</v>
      </c>
      <c r="AH10">
        <v>30.5</v>
      </c>
      <c r="AI10">
        <v>31.43</v>
      </c>
      <c r="AJ10">
        <v>30.42</v>
      </c>
      <c r="AK10">
        <v>31.41</v>
      </c>
      <c r="AL10">
        <v>31.41</v>
      </c>
      <c r="AM10">
        <v>2814900</v>
      </c>
      <c r="AO10" s="18">
        <v>44026</v>
      </c>
      <c r="AP10">
        <v>59</v>
      </c>
      <c r="AQ10">
        <v>60.56</v>
      </c>
      <c r="AR10">
        <v>58.45</v>
      </c>
      <c r="AS10">
        <v>60.47</v>
      </c>
      <c r="AT10">
        <v>60.47</v>
      </c>
      <c r="AU10">
        <v>7256800</v>
      </c>
      <c r="AW10" s="18">
        <v>44026</v>
      </c>
      <c r="AX10">
        <v>10310.25</v>
      </c>
      <c r="AY10">
        <v>10497.83</v>
      </c>
      <c r="AZ10">
        <v>10182.459999999999</v>
      </c>
      <c r="BA10">
        <v>10488.58</v>
      </c>
      <c r="BB10">
        <v>10488.58</v>
      </c>
      <c r="BC10">
        <v>4419480000</v>
      </c>
    </row>
    <row r="11" spans="1:55" x14ac:dyDescent="0.25">
      <c r="A11" s="18">
        <v>44025</v>
      </c>
      <c r="B11">
        <v>1659</v>
      </c>
      <c r="C11">
        <v>1794.99</v>
      </c>
      <c r="D11">
        <v>1471.11</v>
      </c>
      <c r="E11">
        <v>1497.06</v>
      </c>
      <c r="F11">
        <v>1497.06</v>
      </c>
      <c r="G11">
        <v>38985400</v>
      </c>
      <c r="I11" s="18">
        <v>44025</v>
      </c>
      <c r="J11">
        <v>258.99</v>
      </c>
      <c r="K11">
        <v>262.41000000000003</v>
      </c>
      <c r="L11">
        <v>255.39</v>
      </c>
      <c r="M11">
        <v>256.24</v>
      </c>
      <c r="N11">
        <v>256.24</v>
      </c>
      <c r="O11">
        <v>2400200</v>
      </c>
      <c r="Q11" s="18">
        <v>44025</v>
      </c>
      <c r="R11">
        <v>247.01</v>
      </c>
      <c r="S11">
        <v>250.15</v>
      </c>
      <c r="T11">
        <v>238.42</v>
      </c>
      <c r="U11">
        <v>239</v>
      </c>
      <c r="V11">
        <v>239</v>
      </c>
      <c r="W11">
        <v>24674900</v>
      </c>
      <c r="Y11" s="18">
        <v>44025</v>
      </c>
      <c r="Z11">
        <v>86.04</v>
      </c>
      <c r="AA11">
        <v>86.93</v>
      </c>
      <c r="AB11">
        <v>84.81</v>
      </c>
      <c r="AC11">
        <v>85.4</v>
      </c>
      <c r="AD11">
        <v>85.4</v>
      </c>
      <c r="AE11">
        <v>7074000</v>
      </c>
      <c r="AG11" s="18">
        <v>44025</v>
      </c>
      <c r="AH11">
        <v>30.77</v>
      </c>
      <c r="AI11">
        <v>30.95</v>
      </c>
      <c r="AJ11">
        <v>30.3</v>
      </c>
      <c r="AK11">
        <v>30.43</v>
      </c>
      <c r="AL11">
        <v>30.43</v>
      </c>
      <c r="AM11">
        <v>3478500</v>
      </c>
      <c r="AO11" s="18">
        <v>44025</v>
      </c>
      <c r="AP11">
        <v>60.28</v>
      </c>
      <c r="AQ11">
        <v>60.8</v>
      </c>
      <c r="AR11">
        <v>58.74</v>
      </c>
      <c r="AS11">
        <v>59.35</v>
      </c>
      <c r="AT11">
        <v>59.35</v>
      </c>
      <c r="AU11">
        <v>7440800</v>
      </c>
      <c r="AW11" s="18">
        <v>44025</v>
      </c>
      <c r="AX11">
        <v>10729.92</v>
      </c>
      <c r="AY11">
        <v>10824.78</v>
      </c>
      <c r="AZ11">
        <v>10368.040000000001</v>
      </c>
      <c r="BA11">
        <v>10390.84</v>
      </c>
      <c r="BB11">
        <v>10390.84</v>
      </c>
      <c r="BC11">
        <v>4822050000</v>
      </c>
    </row>
    <row r="12" spans="1:55" x14ac:dyDescent="0.25">
      <c r="A12" s="18">
        <v>44022</v>
      </c>
      <c r="B12">
        <v>1396</v>
      </c>
      <c r="C12">
        <v>1548.92</v>
      </c>
      <c r="D12">
        <v>1376.01</v>
      </c>
      <c r="E12">
        <v>1544.65</v>
      </c>
      <c r="F12">
        <v>1544.65</v>
      </c>
      <c r="G12">
        <v>23337600</v>
      </c>
      <c r="I12" s="18">
        <v>44022</v>
      </c>
      <c r="J12">
        <v>252.18</v>
      </c>
      <c r="K12">
        <v>261.29000000000002</v>
      </c>
      <c r="L12">
        <v>251.77</v>
      </c>
      <c r="M12">
        <v>259.60000000000002</v>
      </c>
      <c r="N12">
        <v>259.60000000000002</v>
      </c>
      <c r="O12">
        <v>2519800</v>
      </c>
      <c r="Q12" s="18">
        <v>44022</v>
      </c>
      <c r="R12">
        <v>243.69</v>
      </c>
      <c r="S12">
        <v>245.49</v>
      </c>
      <c r="T12">
        <v>239.32</v>
      </c>
      <c r="U12">
        <v>245.07</v>
      </c>
      <c r="V12">
        <v>245.07</v>
      </c>
      <c r="W12">
        <v>22982700</v>
      </c>
      <c r="Y12" s="18">
        <v>44022</v>
      </c>
      <c r="Z12">
        <v>82.5</v>
      </c>
      <c r="AA12">
        <v>85.42</v>
      </c>
      <c r="AB12">
        <v>82.5</v>
      </c>
      <c r="AC12">
        <v>85.23</v>
      </c>
      <c r="AD12">
        <v>85.23</v>
      </c>
      <c r="AE12">
        <v>6218100</v>
      </c>
      <c r="AG12" s="18">
        <v>44022</v>
      </c>
      <c r="AH12">
        <v>29.86</v>
      </c>
      <c r="AI12">
        <v>30.32</v>
      </c>
      <c r="AJ12">
        <v>29.8</v>
      </c>
      <c r="AK12">
        <v>30.31</v>
      </c>
      <c r="AL12">
        <v>30.31</v>
      </c>
      <c r="AM12">
        <v>3424400</v>
      </c>
      <c r="AO12" s="18">
        <v>44022</v>
      </c>
      <c r="AP12">
        <v>59.1</v>
      </c>
      <c r="AQ12">
        <v>60.2</v>
      </c>
      <c r="AR12">
        <v>58.77</v>
      </c>
      <c r="AS12">
        <v>59.64</v>
      </c>
      <c r="AT12">
        <v>59.64</v>
      </c>
      <c r="AU12">
        <v>10458000</v>
      </c>
      <c r="AW12" s="18">
        <v>44022</v>
      </c>
      <c r="AX12">
        <v>10545.91</v>
      </c>
      <c r="AY12">
        <v>10622.35</v>
      </c>
      <c r="AZ12">
        <v>10447.01</v>
      </c>
      <c r="BA12">
        <v>10617.44</v>
      </c>
      <c r="BB12">
        <v>10617.44</v>
      </c>
      <c r="BC12">
        <v>3509810000</v>
      </c>
    </row>
    <row r="13" spans="1:55" x14ac:dyDescent="0.25">
      <c r="A13" s="18">
        <v>44021</v>
      </c>
      <c r="B13">
        <v>1396.99</v>
      </c>
      <c r="C13">
        <v>1408.56</v>
      </c>
      <c r="D13">
        <v>1351.28</v>
      </c>
      <c r="E13">
        <v>1394.28</v>
      </c>
      <c r="F13">
        <v>1394.28</v>
      </c>
      <c r="G13">
        <v>11717600</v>
      </c>
      <c r="I13" s="18">
        <v>44021</v>
      </c>
      <c r="J13">
        <v>251.23</v>
      </c>
      <c r="K13">
        <v>253.37</v>
      </c>
      <c r="L13">
        <v>248.56</v>
      </c>
      <c r="M13">
        <v>251.99</v>
      </c>
      <c r="N13">
        <v>251.99</v>
      </c>
      <c r="O13">
        <v>1704700</v>
      </c>
      <c r="Q13" s="18">
        <v>44021</v>
      </c>
      <c r="R13">
        <v>245</v>
      </c>
      <c r="S13">
        <v>246.53</v>
      </c>
      <c r="T13">
        <v>239.24</v>
      </c>
      <c r="U13">
        <v>244.5</v>
      </c>
      <c r="V13">
        <v>244.5</v>
      </c>
      <c r="W13">
        <v>22174900</v>
      </c>
      <c r="Y13" s="18">
        <v>44021</v>
      </c>
      <c r="Z13">
        <v>85.97</v>
      </c>
      <c r="AA13">
        <v>86.32</v>
      </c>
      <c r="AB13">
        <v>82.69</v>
      </c>
      <c r="AC13">
        <v>82.74</v>
      </c>
      <c r="AD13">
        <v>82.74</v>
      </c>
      <c r="AE13">
        <v>8833600</v>
      </c>
      <c r="AG13" s="18">
        <v>44021</v>
      </c>
      <c r="AH13">
        <v>30.65</v>
      </c>
      <c r="AI13">
        <v>30.67</v>
      </c>
      <c r="AJ13">
        <v>29.45</v>
      </c>
      <c r="AK13">
        <v>29.51</v>
      </c>
      <c r="AL13">
        <v>29.51</v>
      </c>
      <c r="AM13">
        <v>4550400</v>
      </c>
      <c r="AO13" s="18">
        <v>44021</v>
      </c>
      <c r="AP13">
        <v>60.66</v>
      </c>
      <c r="AQ13">
        <v>60.88</v>
      </c>
      <c r="AR13">
        <v>58.06</v>
      </c>
      <c r="AS13">
        <v>58.11</v>
      </c>
      <c r="AT13">
        <v>58.11</v>
      </c>
      <c r="AU13">
        <v>10778900</v>
      </c>
      <c r="AW13" s="18">
        <v>44021</v>
      </c>
      <c r="AX13">
        <v>10563.72</v>
      </c>
      <c r="AY13">
        <v>10578.1</v>
      </c>
      <c r="AZ13">
        <v>10379.91</v>
      </c>
      <c r="BA13">
        <v>10547.75</v>
      </c>
      <c r="BB13">
        <v>10547.75</v>
      </c>
      <c r="BC13">
        <v>3992920000</v>
      </c>
    </row>
    <row r="14" spans="1:55" x14ac:dyDescent="0.25">
      <c r="A14" s="18">
        <v>44020</v>
      </c>
      <c r="B14">
        <v>1405</v>
      </c>
      <c r="C14">
        <v>1417.26</v>
      </c>
      <c r="D14">
        <v>1311.34</v>
      </c>
      <c r="E14">
        <v>1365.88</v>
      </c>
      <c r="F14">
        <v>1365.88</v>
      </c>
      <c r="G14">
        <v>16311300</v>
      </c>
      <c r="I14" s="18">
        <v>44020</v>
      </c>
      <c r="J14">
        <v>246.83</v>
      </c>
      <c r="K14">
        <v>254.14</v>
      </c>
      <c r="L14">
        <v>246.12</v>
      </c>
      <c r="M14">
        <v>253.27</v>
      </c>
      <c r="N14">
        <v>253.27</v>
      </c>
      <c r="O14">
        <v>2408400</v>
      </c>
      <c r="Q14" s="18">
        <v>44020</v>
      </c>
      <c r="R14">
        <v>238.11</v>
      </c>
      <c r="S14">
        <v>246.99</v>
      </c>
      <c r="T14">
        <v>236.59</v>
      </c>
      <c r="U14">
        <v>243.58</v>
      </c>
      <c r="V14">
        <v>243.58</v>
      </c>
      <c r="W14">
        <v>29791300</v>
      </c>
      <c r="Y14" s="18">
        <v>44020</v>
      </c>
      <c r="Z14">
        <v>86.39</v>
      </c>
      <c r="AA14">
        <v>87.8</v>
      </c>
      <c r="AB14">
        <v>85.89</v>
      </c>
      <c r="AC14">
        <v>86.35</v>
      </c>
      <c r="AD14">
        <v>86.35</v>
      </c>
      <c r="AE14">
        <v>6736400</v>
      </c>
      <c r="AG14" s="18">
        <v>44020</v>
      </c>
      <c r="AH14">
        <v>30.64</v>
      </c>
      <c r="AI14">
        <v>31.11</v>
      </c>
      <c r="AJ14">
        <v>30.6</v>
      </c>
      <c r="AK14">
        <v>30.9</v>
      </c>
      <c r="AL14">
        <v>30.9</v>
      </c>
      <c r="AM14">
        <v>3015000</v>
      </c>
      <c r="AO14" s="18">
        <v>44020</v>
      </c>
      <c r="AP14">
        <v>60.88</v>
      </c>
      <c r="AQ14">
        <v>61.64</v>
      </c>
      <c r="AR14">
        <v>60.2</v>
      </c>
      <c r="AS14">
        <v>61.01</v>
      </c>
      <c r="AT14">
        <v>61.01</v>
      </c>
      <c r="AU14">
        <v>9306900</v>
      </c>
      <c r="AW14" s="18">
        <v>44020</v>
      </c>
      <c r="AX14">
        <v>10409.35</v>
      </c>
      <c r="AY14">
        <v>10494.63</v>
      </c>
      <c r="AZ14">
        <v>10350.959999999999</v>
      </c>
      <c r="BA14">
        <v>10492.5</v>
      </c>
      <c r="BB14">
        <v>10492.5</v>
      </c>
      <c r="BC14">
        <v>3999180000</v>
      </c>
    </row>
    <row r="15" spans="1:55" x14ac:dyDescent="0.25">
      <c r="A15" s="18">
        <v>44019</v>
      </c>
      <c r="B15">
        <v>1405.01</v>
      </c>
      <c r="C15">
        <v>1429.5</v>
      </c>
      <c r="D15">
        <v>1336.71</v>
      </c>
      <c r="E15">
        <v>1389.86</v>
      </c>
      <c r="F15">
        <v>1389.86</v>
      </c>
      <c r="G15">
        <v>21489700</v>
      </c>
      <c r="I15" s="18">
        <v>44019</v>
      </c>
      <c r="J15">
        <v>244.45</v>
      </c>
      <c r="K15">
        <v>248.34</v>
      </c>
      <c r="L15">
        <v>243.64</v>
      </c>
      <c r="M15">
        <v>246.72</v>
      </c>
      <c r="N15">
        <v>246.72</v>
      </c>
      <c r="O15">
        <v>1504300</v>
      </c>
      <c r="Q15" s="18">
        <v>44019</v>
      </c>
      <c r="R15">
        <v>239.41</v>
      </c>
      <c r="S15">
        <v>247.65</v>
      </c>
      <c r="T15">
        <v>238.82</v>
      </c>
      <c r="U15">
        <v>240.86</v>
      </c>
      <c r="V15">
        <v>240.86</v>
      </c>
      <c r="W15">
        <v>27887800</v>
      </c>
      <c r="Y15" s="18">
        <v>44019</v>
      </c>
      <c r="Z15">
        <v>87.82</v>
      </c>
      <c r="AA15">
        <v>88.08</v>
      </c>
      <c r="AB15">
        <v>86.15</v>
      </c>
      <c r="AC15">
        <v>86.31</v>
      </c>
      <c r="AD15">
        <v>86.31</v>
      </c>
      <c r="AE15">
        <v>5898000</v>
      </c>
      <c r="AG15" s="18">
        <v>44019</v>
      </c>
      <c r="AH15">
        <v>31.28</v>
      </c>
      <c r="AI15">
        <v>31.3</v>
      </c>
      <c r="AJ15">
        <v>30.6</v>
      </c>
      <c r="AK15">
        <v>30.66</v>
      </c>
      <c r="AL15">
        <v>30.66</v>
      </c>
      <c r="AM15">
        <v>2792200</v>
      </c>
      <c r="AO15" s="18">
        <v>44019</v>
      </c>
      <c r="AP15">
        <v>62.54</v>
      </c>
      <c r="AQ15">
        <v>62.83</v>
      </c>
      <c r="AR15">
        <v>60.94</v>
      </c>
      <c r="AS15">
        <v>61.01</v>
      </c>
      <c r="AT15">
        <v>61.01</v>
      </c>
      <c r="AU15">
        <v>8783000</v>
      </c>
      <c r="AW15" s="18">
        <v>44019</v>
      </c>
      <c r="AX15">
        <v>10412.459999999999</v>
      </c>
      <c r="AY15">
        <v>10518.98</v>
      </c>
      <c r="AZ15">
        <v>10337.98</v>
      </c>
      <c r="BA15">
        <v>10343.89</v>
      </c>
      <c r="BB15">
        <v>10343.89</v>
      </c>
      <c r="BC15">
        <v>4314110000</v>
      </c>
    </row>
    <row r="16" spans="1:55" x14ac:dyDescent="0.25">
      <c r="A16" s="18">
        <v>44018</v>
      </c>
      <c r="B16">
        <v>1276.69</v>
      </c>
      <c r="C16">
        <v>1377.79</v>
      </c>
      <c r="D16">
        <v>1266.04</v>
      </c>
      <c r="E16">
        <v>1371.58</v>
      </c>
      <c r="F16">
        <v>1371.58</v>
      </c>
      <c r="G16">
        <v>20569900</v>
      </c>
      <c r="I16" s="18">
        <v>44018</v>
      </c>
      <c r="J16">
        <v>248.19</v>
      </c>
      <c r="K16">
        <v>249.15</v>
      </c>
      <c r="L16">
        <v>244.58</v>
      </c>
      <c r="M16">
        <v>246.96</v>
      </c>
      <c r="N16">
        <v>246.96</v>
      </c>
      <c r="O16">
        <v>1564200</v>
      </c>
      <c r="Q16" s="18">
        <v>44018</v>
      </c>
      <c r="R16">
        <v>233.76</v>
      </c>
      <c r="S16">
        <v>240.4</v>
      </c>
      <c r="T16">
        <v>232.27</v>
      </c>
      <c r="U16">
        <v>240.28</v>
      </c>
      <c r="V16">
        <v>240.28</v>
      </c>
      <c r="W16">
        <v>26206200</v>
      </c>
      <c r="Y16" s="18">
        <v>44018</v>
      </c>
      <c r="Z16">
        <v>89.5</v>
      </c>
      <c r="AA16">
        <v>90.25</v>
      </c>
      <c r="AB16">
        <v>87.82</v>
      </c>
      <c r="AC16">
        <v>88.57</v>
      </c>
      <c r="AD16">
        <v>88.57</v>
      </c>
      <c r="AE16">
        <v>6747500</v>
      </c>
      <c r="AG16" s="18">
        <v>44018</v>
      </c>
      <c r="AH16">
        <v>31.79</v>
      </c>
      <c r="AI16">
        <v>31.89</v>
      </c>
      <c r="AJ16">
        <v>31.22</v>
      </c>
      <c r="AK16">
        <v>31.5</v>
      </c>
      <c r="AL16">
        <v>31.5</v>
      </c>
      <c r="AM16">
        <v>5203900</v>
      </c>
      <c r="AO16" s="18">
        <v>44018</v>
      </c>
      <c r="AP16">
        <v>63.06</v>
      </c>
      <c r="AQ16">
        <v>63.83</v>
      </c>
      <c r="AR16">
        <v>62.12</v>
      </c>
      <c r="AS16">
        <v>63.32</v>
      </c>
      <c r="AT16">
        <v>63.32</v>
      </c>
      <c r="AU16">
        <v>6128200</v>
      </c>
      <c r="AW16" s="18">
        <v>44018</v>
      </c>
      <c r="AX16">
        <v>10360.379999999999</v>
      </c>
      <c r="AY16">
        <v>10462.049999999999</v>
      </c>
      <c r="AZ16">
        <v>10354.98</v>
      </c>
      <c r="BA16">
        <v>10433.65</v>
      </c>
      <c r="BB16">
        <v>10433.65</v>
      </c>
      <c r="BC16">
        <v>4529480000</v>
      </c>
    </row>
    <row r="17" spans="1:55" x14ac:dyDescent="0.25">
      <c r="A17" s="18">
        <v>44014</v>
      </c>
      <c r="B17">
        <v>1221.48</v>
      </c>
      <c r="C17">
        <v>1228</v>
      </c>
      <c r="D17">
        <v>1185.5999999999999</v>
      </c>
      <c r="E17">
        <v>1208.6600000000001</v>
      </c>
      <c r="F17">
        <v>1208.6600000000001</v>
      </c>
      <c r="G17">
        <v>17250100</v>
      </c>
      <c r="I17" s="18">
        <v>44014</v>
      </c>
      <c r="J17">
        <v>248.16</v>
      </c>
      <c r="K17">
        <v>249.72</v>
      </c>
      <c r="L17">
        <v>245.75</v>
      </c>
      <c r="M17">
        <v>246.4</v>
      </c>
      <c r="N17">
        <v>246.4</v>
      </c>
      <c r="O17">
        <v>1495300</v>
      </c>
      <c r="Q17" s="18">
        <v>44014</v>
      </c>
      <c r="R17">
        <v>239</v>
      </c>
      <c r="S17">
        <v>240</v>
      </c>
      <c r="T17">
        <v>232.61</v>
      </c>
      <c r="U17">
        <v>233.42</v>
      </c>
      <c r="V17">
        <v>233.42</v>
      </c>
      <c r="W17">
        <v>30633600</v>
      </c>
      <c r="Y17" s="18">
        <v>44014</v>
      </c>
      <c r="Z17">
        <v>89.37</v>
      </c>
      <c r="AA17">
        <v>90.36</v>
      </c>
      <c r="AB17">
        <v>88.16</v>
      </c>
      <c r="AC17">
        <v>88.31</v>
      </c>
      <c r="AD17">
        <v>88.31</v>
      </c>
      <c r="AE17">
        <v>5832800</v>
      </c>
      <c r="AG17" s="18">
        <v>44014</v>
      </c>
      <c r="AH17">
        <v>31.19</v>
      </c>
      <c r="AI17">
        <v>31.4</v>
      </c>
      <c r="AJ17">
        <v>30.71</v>
      </c>
      <c r="AK17">
        <v>30.76</v>
      </c>
      <c r="AL17">
        <v>30.76</v>
      </c>
      <c r="AM17">
        <v>5245800</v>
      </c>
      <c r="AO17" s="18">
        <v>44014</v>
      </c>
      <c r="AP17">
        <v>62.67</v>
      </c>
      <c r="AQ17">
        <v>63.46</v>
      </c>
      <c r="AR17">
        <v>61.62</v>
      </c>
      <c r="AS17">
        <v>61.79</v>
      </c>
      <c r="AT17">
        <v>61.79</v>
      </c>
      <c r="AU17">
        <v>8238300</v>
      </c>
      <c r="AW17" s="18">
        <v>44014</v>
      </c>
      <c r="AX17">
        <v>10268.67</v>
      </c>
      <c r="AY17">
        <v>10310.36</v>
      </c>
      <c r="AZ17">
        <v>10194.06</v>
      </c>
      <c r="BA17">
        <v>10207.629999999999</v>
      </c>
      <c r="BB17">
        <v>10207.629999999999</v>
      </c>
      <c r="BC17">
        <v>4017530000</v>
      </c>
    </row>
    <row r="18" spans="1:55" x14ac:dyDescent="0.25">
      <c r="A18" s="18">
        <v>44013</v>
      </c>
      <c r="B18">
        <v>1083</v>
      </c>
      <c r="C18">
        <v>1135.33</v>
      </c>
      <c r="D18">
        <v>1080.5</v>
      </c>
      <c r="E18">
        <v>1119.6300000000001</v>
      </c>
      <c r="F18">
        <v>1119.6300000000001</v>
      </c>
      <c r="G18">
        <v>13326900</v>
      </c>
      <c r="I18" s="18">
        <v>44013</v>
      </c>
      <c r="J18">
        <v>239.67</v>
      </c>
      <c r="K18">
        <v>247.5</v>
      </c>
      <c r="L18">
        <v>238.31</v>
      </c>
      <c r="M18">
        <v>246.26</v>
      </c>
      <c r="N18">
        <v>246.26</v>
      </c>
      <c r="O18">
        <v>1506100</v>
      </c>
      <c r="Q18" s="18">
        <v>44013</v>
      </c>
      <c r="R18">
        <v>228.5</v>
      </c>
      <c r="S18">
        <v>239</v>
      </c>
      <c r="T18">
        <v>227.56</v>
      </c>
      <c r="U18">
        <v>237.55</v>
      </c>
      <c r="V18">
        <v>237.55</v>
      </c>
      <c r="W18">
        <v>43399700</v>
      </c>
      <c r="Y18" s="18">
        <v>44013</v>
      </c>
      <c r="Z18">
        <v>89.28</v>
      </c>
      <c r="AA18">
        <v>90.77</v>
      </c>
      <c r="AB18">
        <v>87.55</v>
      </c>
      <c r="AC18">
        <v>87.62</v>
      </c>
      <c r="AD18">
        <v>87.62</v>
      </c>
      <c r="AE18">
        <v>6379400</v>
      </c>
      <c r="AG18" s="18">
        <v>44013</v>
      </c>
      <c r="AH18">
        <v>30.78</v>
      </c>
      <c r="AI18">
        <v>31.26</v>
      </c>
      <c r="AJ18">
        <v>30.47</v>
      </c>
      <c r="AK18">
        <v>30.54</v>
      </c>
      <c r="AL18">
        <v>30.54</v>
      </c>
      <c r="AM18">
        <v>4825100</v>
      </c>
      <c r="AO18" s="18">
        <v>44013</v>
      </c>
      <c r="AP18">
        <v>61.78</v>
      </c>
      <c r="AQ18">
        <v>62.9</v>
      </c>
      <c r="AR18">
        <v>61.23</v>
      </c>
      <c r="AS18">
        <v>61.61</v>
      </c>
      <c r="AT18">
        <v>61.61</v>
      </c>
      <c r="AU18">
        <v>6860300</v>
      </c>
      <c r="AW18" s="18">
        <v>44013</v>
      </c>
      <c r="AX18">
        <v>10063.67</v>
      </c>
      <c r="AY18">
        <v>10197.19</v>
      </c>
      <c r="AZ18">
        <v>10048.040000000001</v>
      </c>
      <c r="BA18">
        <v>10154.629999999999</v>
      </c>
      <c r="BB18">
        <v>10154.629999999999</v>
      </c>
      <c r="BC18">
        <v>4595970000</v>
      </c>
    </row>
    <row r="19" spans="1:55" x14ac:dyDescent="0.25">
      <c r="A19" s="18">
        <v>44012</v>
      </c>
      <c r="B19">
        <v>1006.5</v>
      </c>
      <c r="C19">
        <v>1087.69</v>
      </c>
      <c r="D19">
        <v>1003.73</v>
      </c>
      <c r="E19">
        <v>1079.81</v>
      </c>
      <c r="F19">
        <v>1079.81</v>
      </c>
      <c r="G19">
        <v>16918500</v>
      </c>
      <c r="I19" s="18">
        <v>44012</v>
      </c>
      <c r="J19">
        <v>238.91</v>
      </c>
      <c r="K19">
        <v>241.81</v>
      </c>
      <c r="L19">
        <v>237.5</v>
      </c>
      <c r="M19">
        <v>240.17</v>
      </c>
      <c r="N19">
        <v>240.17</v>
      </c>
      <c r="O19">
        <v>2383100</v>
      </c>
      <c r="Q19" s="18">
        <v>44012</v>
      </c>
      <c r="R19">
        <v>220.59</v>
      </c>
      <c r="S19">
        <v>227.5</v>
      </c>
      <c r="T19">
        <v>218.47</v>
      </c>
      <c r="U19">
        <v>227.07</v>
      </c>
      <c r="V19">
        <v>227.07</v>
      </c>
      <c r="W19">
        <v>33927100</v>
      </c>
      <c r="Y19" s="18">
        <v>44012</v>
      </c>
      <c r="Z19">
        <v>86.6</v>
      </c>
      <c r="AA19">
        <v>89.99</v>
      </c>
      <c r="AB19">
        <v>86.36</v>
      </c>
      <c r="AC19">
        <v>89.23</v>
      </c>
      <c r="AD19">
        <v>89.23</v>
      </c>
      <c r="AE19">
        <v>8263600</v>
      </c>
      <c r="AG19" s="18">
        <v>44012</v>
      </c>
      <c r="AH19">
        <v>30.3</v>
      </c>
      <c r="AI19">
        <v>30.68</v>
      </c>
      <c r="AJ19">
        <v>29.96</v>
      </c>
      <c r="AK19">
        <v>30.45</v>
      </c>
      <c r="AL19">
        <v>30.45</v>
      </c>
      <c r="AM19">
        <v>6114000</v>
      </c>
      <c r="AO19" s="18">
        <v>44012</v>
      </c>
      <c r="AP19">
        <v>61.05</v>
      </c>
      <c r="AQ19">
        <v>61.86</v>
      </c>
      <c r="AR19">
        <v>60.08</v>
      </c>
      <c r="AS19">
        <v>61.62</v>
      </c>
      <c r="AT19">
        <v>61.62</v>
      </c>
      <c r="AU19">
        <v>10746400</v>
      </c>
      <c r="AW19" s="18">
        <v>44012</v>
      </c>
      <c r="AX19">
        <v>9875.2900000000009</v>
      </c>
      <c r="AY19">
        <v>10085.59</v>
      </c>
      <c r="AZ19">
        <v>9863.67</v>
      </c>
      <c r="BA19">
        <v>10058.77</v>
      </c>
      <c r="BB19">
        <v>10058.77</v>
      </c>
      <c r="BC19">
        <v>4474000000</v>
      </c>
    </row>
    <row r="20" spans="1:55" x14ac:dyDescent="0.25">
      <c r="A20" s="18">
        <v>44011</v>
      </c>
      <c r="B20">
        <v>969.01</v>
      </c>
      <c r="C20">
        <v>1010</v>
      </c>
      <c r="D20">
        <v>948.52</v>
      </c>
      <c r="E20">
        <v>1009.35</v>
      </c>
      <c r="F20">
        <v>1009.35</v>
      </c>
      <c r="G20">
        <v>9026400</v>
      </c>
      <c r="I20" s="18">
        <v>44011</v>
      </c>
      <c r="J20">
        <v>237.51</v>
      </c>
      <c r="K20">
        <v>238.49</v>
      </c>
      <c r="L20">
        <v>233.76</v>
      </c>
      <c r="M20">
        <v>238.24</v>
      </c>
      <c r="N20">
        <v>238.24</v>
      </c>
      <c r="O20">
        <v>1448300</v>
      </c>
      <c r="Q20" s="18">
        <v>44011</v>
      </c>
      <c r="R20">
        <v>209.75</v>
      </c>
      <c r="S20">
        <v>220.75</v>
      </c>
      <c r="T20">
        <v>207.11</v>
      </c>
      <c r="U20">
        <v>220.64</v>
      </c>
      <c r="V20">
        <v>220.64</v>
      </c>
      <c r="W20">
        <v>58514300</v>
      </c>
      <c r="Y20" s="18">
        <v>44011</v>
      </c>
      <c r="Z20">
        <v>86.91</v>
      </c>
      <c r="AA20">
        <v>88.57</v>
      </c>
      <c r="AB20">
        <v>86.6</v>
      </c>
      <c r="AC20">
        <v>87.67</v>
      </c>
      <c r="AD20">
        <v>87.67</v>
      </c>
      <c r="AE20">
        <v>7022200</v>
      </c>
      <c r="AG20" s="18">
        <v>44011</v>
      </c>
      <c r="AH20">
        <v>31.13</v>
      </c>
      <c r="AI20">
        <v>31.47</v>
      </c>
      <c r="AJ20">
        <v>30.97</v>
      </c>
      <c r="AK20">
        <v>31.34</v>
      </c>
      <c r="AL20">
        <v>31.34</v>
      </c>
      <c r="AM20">
        <v>4271400</v>
      </c>
      <c r="AO20" s="18">
        <v>44011</v>
      </c>
      <c r="AP20">
        <v>60.19</v>
      </c>
      <c r="AQ20">
        <v>61.92</v>
      </c>
      <c r="AR20">
        <v>59.8</v>
      </c>
      <c r="AS20">
        <v>61.92</v>
      </c>
      <c r="AT20">
        <v>61.92</v>
      </c>
      <c r="AU20">
        <v>8908700</v>
      </c>
      <c r="AW20" s="18">
        <v>44011</v>
      </c>
      <c r="AX20">
        <v>9771.7199999999993</v>
      </c>
      <c r="AY20">
        <v>9877.34</v>
      </c>
      <c r="AZ20">
        <v>9663.61</v>
      </c>
      <c r="BA20">
        <v>9874.15</v>
      </c>
      <c r="BB20">
        <v>9874.15</v>
      </c>
      <c r="BC20">
        <v>4306120000</v>
      </c>
    </row>
    <row r="21" spans="1:55" x14ac:dyDescent="0.25">
      <c r="A21" s="18">
        <v>44008</v>
      </c>
      <c r="B21">
        <v>994.78</v>
      </c>
      <c r="C21">
        <v>995</v>
      </c>
      <c r="D21">
        <v>954.87</v>
      </c>
      <c r="E21">
        <v>959.74</v>
      </c>
      <c r="F21">
        <v>959.74</v>
      </c>
      <c r="G21">
        <v>8854900</v>
      </c>
      <c r="I21" s="18">
        <v>44008</v>
      </c>
      <c r="J21">
        <v>238.5</v>
      </c>
      <c r="K21">
        <v>242.06</v>
      </c>
      <c r="L21">
        <v>234.81</v>
      </c>
      <c r="M21">
        <v>236.22</v>
      </c>
      <c r="N21">
        <v>236.22</v>
      </c>
      <c r="O21">
        <v>2526800</v>
      </c>
      <c r="Q21" s="18">
        <v>44008</v>
      </c>
      <c r="R21">
        <v>232.64</v>
      </c>
      <c r="S21">
        <v>233.09</v>
      </c>
      <c r="T21">
        <v>215.4</v>
      </c>
      <c r="U21">
        <v>216.08</v>
      </c>
      <c r="V21">
        <v>216.08</v>
      </c>
      <c r="W21">
        <v>76343900</v>
      </c>
      <c r="Y21" s="18">
        <v>44008</v>
      </c>
      <c r="Z21">
        <v>88.78</v>
      </c>
      <c r="AA21">
        <v>88.83</v>
      </c>
      <c r="AB21">
        <v>86.18</v>
      </c>
      <c r="AC21">
        <v>86.46</v>
      </c>
      <c r="AD21">
        <v>86.46</v>
      </c>
      <c r="AE21">
        <v>13766000</v>
      </c>
      <c r="AG21" s="18">
        <v>44008</v>
      </c>
      <c r="AH21">
        <v>31.66</v>
      </c>
      <c r="AI21">
        <v>31.73</v>
      </c>
      <c r="AJ21">
        <v>30.71</v>
      </c>
      <c r="AK21">
        <v>30.88</v>
      </c>
      <c r="AL21">
        <v>30.88</v>
      </c>
      <c r="AM21">
        <v>4990000</v>
      </c>
      <c r="AO21" s="18">
        <v>44008</v>
      </c>
      <c r="AP21">
        <v>61.02</v>
      </c>
      <c r="AQ21">
        <v>61.42</v>
      </c>
      <c r="AR21">
        <v>58.94</v>
      </c>
      <c r="AS21">
        <v>59.1</v>
      </c>
      <c r="AT21">
        <v>59.1</v>
      </c>
      <c r="AU21">
        <v>17537900</v>
      </c>
      <c r="AW21" s="18">
        <v>44008</v>
      </c>
      <c r="AX21">
        <v>9995.1200000000008</v>
      </c>
      <c r="AY21">
        <v>10000.67</v>
      </c>
      <c r="AZ21">
        <v>9749.07</v>
      </c>
      <c r="BA21">
        <v>9757.2199999999993</v>
      </c>
      <c r="BB21">
        <v>9757.2199999999993</v>
      </c>
      <c r="BC21">
        <v>7279230000</v>
      </c>
    </row>
    <row r="22" spans="1:55" x14ac:dyDescent="0.25">
      <c r="A22" s="18">
        <v>44007</v>
      </c>
      <c r="B22">
        <v>954.27</v>
      </c>
      <c r="C22">
        <v>985.98</v>
      </c>
      <c r="D22">
        <v>937.15</v>
      </c>
      <c r="E22">
        <v>985.98</v>
      </c>
      <c r="F22">
        <v>985.98</v>
      </c>
      <c r="G22">
        <v>9254500</v>
      </c>
      <c r="I22" s="18">
        <v>44007</v>
      </c>
      <c r="J22">
        <v>241.32</v>
      </c>
      <c r="K22">
        <v>241.32</v>
      </c>
      <c r="L22">
        <v>235.57</v>
      </c>
      <c r="M22">
        <v>239.16</v>
      </c>
      <c r="N22">
        <v>239.16</v>
      </c>
      <c r="O22">
        <v>1956200</v>
      </c>
      <c r="Q22" s="18">
        <v>44007</v>
      </c>
      <c r="R22">
        <v>234.62</v>
      </c>
      <c r="S22">
        <v>237.3</v>
      </c>
      <c r="T22">
        <v>232.74</v>
      </c>
      <c r="U22">
        <v>235.68</v>
      </c>
      <c r="V22">
        <v>235.68</v>
      </c>
      <c r="W22">
        <v>18704300</v>
      </c>
      <c r="Y22" s="18">
        <v>44007</v>
      </c>
      <c r="Z22">
        <v>87.31</v>
      </c>
      <c r="AA22">
        <v>89.51</v>
      </c>
      <c r="AB22">
        <v>87.16</v>
      </c>
      <c r="AC22">
        <v>89.21</v>
      </c>
      <c r="AD22">
        <v>89.21</v>
      </c>
      <c r="AE22">
        <v>7398000</v>
      </c>
      <c r="AG22" s="18">
        <v>44007</v>
      </c>
      <c r="AH22">
        <v>31.29</v>
      </c>
      <c r="AI22">
        <v>31.9</v>
      </c>
      <c r="AJ22">
        <v>31.17</v>
      </c>
      <c r="AK22">
        <v>31.9</v>
      </c>
      <c r="AL22">
        <v>31.9</v>
      </c>
      <c r="AM22">
        <v>3138300</v>
      </c>
      <c r="AO22" s="18">
        <v>44007</v>
      </c>
      <c r="AP22">
        <v>60.92</v>
      </c>
      <c r="AQ22">
        <v>61.38</v>
      </c>
      <c r="AR22">
        <v>59.96</v>
      </c>
      <c r="AS22">
        <v>61.06</v>
      </c>
      <c r="AT22">
        <v>61.06</v>
      </c>
      <c r="AU22">
        <v>12717400</v>
      </c>
      <c r="AW22" s="18">
        <v>44007</v>
      </c>
      <c r="AX22">
        <v>9899.36</v>
      </c>
      <c r="AY22">
        <v>10023.280000000001</v>
      </c>
      <c r="AZ22">
        <v>9810.4699999999993</v>
      </c>
      <c r="BA22">
        <v>10017</v>
      </c>
      <c r="BB22">
        <v>10017</v>
      </c>
      <c r="BC22">
        <v>4709620000</v>
      </c>
    </row>
    <row r="23" spans="1:55" x14ac:dyDescent="0.25">
      <c r="A23" s="18">
        <v>44006</v>
      </c>
      <c r="B23">
        <v>994.11</v>
      </c>
      <c r="C23">
        <v>1000.88</v>
      </c>
      <c r="D23">
        <v>953.14</v>
      </c>
      <c r="E23">
        <v>960.85</v>
      </c>
      <c r="F23">
        <v>960.85</v>
      </c>
      <c r="G23">
        <v>10959600</v>
      </c>
      <c r="I23" s="18">
        <v>44006</v>
      </c>
      <c r="J23">
        <v>241.34</v>
      </c>
      <c r="K23">
        <v>244.48</v>
      </c>
      <c r="L23">
        <v>238.52</v>
      </c>
      <c r="M23">
        <v>241.67</v>
      </c>
      <c r="N23">
        <v>241.67</v>
      </c>
      <c r="O23">
        <v>1725300</v>
      </c>
      <c r="Q23" s="18">
        <v>44006</v>
      </c>
      <c r="R23">
        <v>241.2</v>
      </c>
      <c r="S23">
        <v>243.22</v>
      </c>
      <c r="T23">
        <v>232.68</v>
      </c>
      <c r="U23">
        <v>234.02</v>
      </c>
      <c r="V23">
        <v>234.02</v>
      </c>
      <c r="W23">
        <v>20834900</v>
      </c>
      <c r="Y23" s="18">
        <v>44006</v>
      </c>
      <c r="Z23">
        <v>89.99</v>
      </c>
      <c r="AA23">
        <v>90.13</v>
      </c>
      <c r="AB23">
        <v>86.86</v>
      </c>
      <c r="AC23">
        <v>87.64</v>
      </c>
      <c r="AD23">
        <v>87.64</v>
      </c>
      <c r="AE23">
        <v>8974500</v>
      </c>
      <c r="AG23" s="18">
        <v>44006</v>
      </c>
      <c r="AH23">
        <v>32.26</v>
      </c>
      <c r="AI23">
        <v>32.26</v>
      </c>
      <c r="AJ23">
        <v>31.21</v>
      </c>
      <c r="AK23">
        <v>31.22</v>
      </c>
      <c r="AL23">
        <v>31.22</v>
      </c>
      <c r="AM23">
        <v>4014000</v>
      </c>
      <c r="AO23" s="18">
        <v>44006</v>
      </c>
      <c r="AP23">
        <v>63.99</v>
      </c>
      <c r="AQ23">
        <v>64.010000000000005</v>
      </c>
      <c r="AR23">
        <v>61.07</v>
      </c>
      <c r="AS23">
        <v>61.72</v>
      </c>
      <c r="AT23">
        <v>61.72</v>
      </c>
      <c r="AU23">
        <v>9880500</v>
      </c>
      <c r="AW23" s="18">
        <v>44006</v>
      </c>
      <c r="AX23">
        <v>10092.92</v>
      </c>
      <c r="AY23">
        <v>10137.5</v>
      </c>
      <c r="AZ23">
        <v>9842.2199999999993</v>
      </c>
      <c r="BA23">
        <v>9909.17</v>
      </c>
      <c r="BB23">
        <v>9909.17</v>
      </c>
      <c r="BC23">
        <v>5549440000</v>
      </c>
    </row>
    <row r="24" spans="1:55" x14ac:dyDescent="0.25">
      <c r="A24" s="18">
        <v>44005</v>
      </c>
      <c r="B24">
        <v>998.88</v>
      </c>
      <c r="C24">
        <v>1012</v>
      </c>
      <c r="D24">
        <v>994.01</v>
      </c>
      <c r="E24">
        <v>1001.78</v>
      </c>
      <c r="F24">
        <v>1001.78</v>
      </c>
      <c r="G24">
        <v>6365300</v>
      </c>
      <c r="I24" s="18">
        <v>44005</v>
      </c>
      <c r="J24">
        <v>249.17</v>
      </c>
      <c r="K24">
        <v>250.25</v>
      </c>
      <c r="L24">
        <v>242.31</v>
      </c>
      <c r="M24">
        <v>243.21</v>
      </c>
      <c r="N24">
        <v>243.21</v>
      </c>
      <c r="O24">
        <v>2326500</v>
      </c>
      <c r="Q24" s="18">
        <v>44005</v>
      </c>
      <c r="R24">
        <v>241.28</v>
      </c>
      <c r="S24">
        <v>245.19</v>
      </c>
      <c r="T24">
        <v>239.86</v>
      </c>
      <c r="U24">
        <v>242.24</v>
      </c>
      <c r="V24">
        <v>242.24</v>
      </c>
      <c r="W24">
        <v>24017900</v>
      </c>
      <c r="Y24" s="18">
        <v>44005</v>
      </c>
      <c r="Z24">
        <v>92.5</v>
      </c>
      <c r="AA24">
        <v>93.09</v>
      </c>
      <c r="AB24">
        <v>91.18</v>
      </c>
      <c r="AC24">
        <v>91.44</v>
      </c>
      <c r="AD24">
        <v>91.44</v>
      </c>
      <c r="AE24">
        <v>6317700</v>
      </c>
      <c r="AG24" s="18">
        <v>44005</v>
      </c>
      <c r="AH24">
        <v>33.29</v>
      </c>
      <c r="AI24">
        <v>33.450000000000003</v>
      </c>
      <c r="AJ24">
        <v>32.94</v>
      </c>
      <c r="AK24">
        <v>33.04</v>
      </c>
      <c r="AL24">
        <v>33.04</v>
      </c>
      <c r="AM24">
        <v>2770000</v>
      </c>
      <c r="AO24" s="18">
        <v>44005</v>
      </c>
      <c r="AP24">
        <v>65.459999999999994</v>
      </c>
      <c r="AQ24">
        <v>65.78</v>
      </c>
      <c r="AR24">
        <v>64.16</v>
      </c>
      <c r="AS24">
        <v>64.540000000000006</v>
      </c>
      <c r="AT24">
        <v>64.540000000000006</v>
      </c>
      <c r="AU24">
        <v>6935100</v>
      </c>
      <c r="AW24" s="18">
        <v>44005</v>
      </c>
      <c r="AX24">
        <v>10130.83</v>
      </c>
      <c r="AY24">
        <v>10221.85</v>
      </c>
      <c r="AZ24">
        <v>10112.44</v>
      </c>
      <c r="BA24">
        <v>10131.370000000001</v>
      </c>
      <c r="BB24">
        <v>10131.370000000001</v>
      </c>
      <c r="BC24">
        <v>5712450000</v>
      </c>
    </row>
    <row r="25" spans="1:55" x14ac:dyDescent="0.25">
      <c r="A25" s="18">
        <v>44004</v>
      </c>
      <c r="B25">
        <v>999.95</v>
      </c>
      <c r="C25">
        <v>1008.88</v>
      </c>
      <c r="D25">
        <v>990.02</v>
      </c>
      <c r="E25">
        <v>994.32</v>
      </c>
      <c r="F25">
        <v>994.32</v>
      </c>
      <c r="G25">
        <v>6362400</v>
      </c>
      <c r="I25" s="18">
        <v>44004</v>
      </c>
      <c r="J25">
        <v>243.2</v>
      </c>
      <c r="K25">
        <v>248.2</v>
      </c>
      <c r="L25">
        <v>240.55</v>
      </c>
      <c r="M25">
        <v>247.04</v>
      </c>
      <c r="N25">
        <v>247.04</v>
      </c>
      <c r="O25">
        <v>1797700</v>
      </c>
      <c r="Q25" s="18">
        <v>44004</v>
      </c>
      <c r="R25">
        <v>238.56</v>
      </c>
      <c r="S25">
        <v>240.7</v>
      </c>
      <c r="T25">
        <v>236.91</v>
      </c>
      <c r="U25">
        <v>239.22</v>
      </c>
      <c r="V25">
        <v>239.22</v>
      </c>
      <c r="W25">
        <v>18917800</v>
      </c>
      <c r="Y25" s="18">
        <v>44004</v>
      </c>
      <c r="Z25">
        <v>90.32</v>
      </c>
      <c r="AA25">
        <v>91.69</v>
      </c>
      <c r="AB25">
        <v>89.59</v>
      </c>
      <c r="AC25">
        <v>91.59</v>
      </c>
      <c r="AD25">
        <v>91.59</v>
      </c>
      <c r="AE25">
        <v>5939200</v>
      </c>
      <c r="AG25" s="18">
        <v>44004</v>
      </c>
      <c r="AH25">
        <v>32.39</v>
      </c>
      <c r="AI25">
        <v>32.619999999999997</v>
      </c>
      <c r="AJ25">
        <v>32.229999999999997</v>
      </c>
      <c r="AK25">
        <v>32.58</v>
      </c>
      <c r="AL25">
        <v>32.58</v>
      </c>
      <c r="AM25">
        <v>2127300</v>
      </c>
      <c r="AO25" s="18">
        <v>44004</v>
      </c>
      <c r="AP25">
        <v>64.81</v>
      </c>
      <c r="AQ25">
        <v>65.42</v>
      </c>
      <c r="AR25">
        <v>63.93</v>
      </c>
      <c r="AS25">
        <v>65.040000000000006</v>
      </c>
      <c r="AT25">
        <v>65.040000000000006</v>
      </c>
      <c r="AU25">
        <v>7566100</v>
      </c>
      <c r="AW25" s="18">
        <v>44004</v>
      </c>
      <c r="AX25">
        <v>9945.49</v>
      </c>
      <c r="AY25">
        <v>10059.61</v>
      </c>
      <c r="AZ25">
        <v>9916.6</v>
      </c>
      <c r="BA25">
        <v>10056.48</v>
      </c>
      <c r="BB25">
        <v>10056.48</v>
      </c>
      <c r="BC25">
        <v>4468000000</v>
      </c>
    </row>
    <row r="26" spans="1:55" x14ac:dyDescent="0.25">
      <c r="A26" s="18">
        <v>44001</v>
      </c>
      <c r="B26">
        <v>1012.78</v>
      </c>
      <c r="C26">
        <v>1015.97</v>
      </c>
      <c r="D26">
        <v>991.34</v>
      </c>
      <c r="E26">
        <v>1000.9</v>
      </c>
      <c r="F26">
        <v>1000.9</v>
      </c>
      <c r="G26">
        <v>8679700</v>
      </c>
      <c r="I26" s="18">
        <v>44001</v>
      </c>
      <c r="J26">
        <v>251.5</v>
      </c>
      <c r="K26">
        <v>251.64</v>
      </c>
      <c r="L26">
        <v>242.21</v>
      </c>
      <c r="M26">
        <v>242.21</v>
      </c>
      <c r="N26">
        <v>242.21</v>
      </c>
      <c r="O26">
        <v>3613200</v>
      </c>
      <c r="Q26" s="18">
        <v>44001</v>
      </c>
      <c r="R26">
        <v>237.79</v>
      </c>
      <c r="S26">
        <v>240.83</v>
      </c>
      <c r="T26">
        <v>235.55</v>
      </c>
      <c r="U26">
        <v>238.79</v>
      </c>
      <c r="V26">
        <v>238.79</v>
      </c>
      <c r="W26">
        <v>30081300</v>
      </c>
      <c r="Y26" s="18">
        <v>44001</v>
      </c>
      <c r="Z26">
        <v>94.41</v>
      </c>
      <c r="AA26">
        <v>94.41</v>
      </c>
      <c r="AB26">
        <v>90.55</v>
      </c>
      <c r="AC26">
        <v>90.63</v>
      </c>
      <c r="AD26">
        <v>90.63</v>
      </c>
      <c r="AE26">
        <v>14838800</v>
      </c>
      <c r="AG26" s="18">
        <v>44001</v>
      </c>
      <c r="AH26">
        <v>32.92</v>
      </c>
      <c r="AI26">
        <v>32.950000000000003</v>
      </c>
      <c r="AJ26">
        <v>31.95</v>
      </c>
      <c r="AK26">
        <v>32.04</v>
      </c>
      <c r="AL26">
        <v>32.04</v>
      </c>
      <c r="AM26">
        <v>2780400</v>
      </c>
      <c r="AO26" s="18">
        <v>44001</v>
      </c>
      <c r="AP26">
        <v>68.36</v>
      </c>
      <c r="AQ26">
        <v>68.36</v>
      </c>
      <c r="AR26">
        <v>64.47</v>
      </c>
      <c r="AS26">
        <v>64.89</v>
      </c>
      <c r="AT26">
        <v>64.89</v>
      </c>
      <c r="AU26">
        <v>19144400</v>
      </c>
      <c r="AW26" s="18">
        <v>44001</v>
      </c>
      <c r="AX26">
        <v>10042.129999999999</v>
      </c>
      <c r="AY26">
        <v>10053.91</v>
      </c>
      <c r="AZ26">
        <v>9872.94</v>
      </c>
      <c r="BA26">
        <v>9946.1200000000008</v>
      </c>
      <c r="BB26">
        <v>9946.1200000000008</v>
      </c>
      <c r="BC26">
        <v>6068130000</v>
      </c>
    </row>
    <row r="27" spans="1:55" x14ac:dyDescent="0.25">
      <c r="A27" s="18">
        <v>44000</v>
      </c>
      <c r="B27">
        <v>1003</v>
      </c>
      <c r="C27">
        <v>1019.2</v>
      </c>
      <c r="D27">
        <v>994.47</v>
      </c>
      <c r="E27">
        <v>1003.96</v>
      </c>
      <c r="F27">
        <v>1003.96</v>
      </c>
      <c r="G27">
        <v>9751900</v>
      </c>
      <c r="I27" s="18">
        <v>44000</v>
      </c>
      <c r="J27">
        <v>248.2</v>
      </c>
      <c r="K27">
        <v>249.92</v>
      </c>
      <c r="L27">
        <v>246.35</v>
      </c>
      <c r="M27">
        <v>248.93</v>
      </c>
      <c r="N27">
        <v>248.93</v>
      </c>
      <c r="O27">
        <v>1596700</v>
      </c>
      <c r="Q27" s="18">
        <v>44000</v>
      </c>
      <c r="R27">
        <v>234.99</v>
      </c>
      <c r="S27">
        <v>236.14</v>
      </c>
      <c r="T27">
        <v>232.15</v>
      </c>
      <c r="U27">
        <v>235.94</v>
      </c>
      <c r="V27">
        <v>235.94</v>
      </c>
      <c r="W27">
        <v>15782500</v>
      </c>
      <c r="Y27" s="18">
        <v>44000</v>
      </c>
      <c r="Z27">
        <v>91</v>
      </c>
      <c r="AA27">
        <v>93.23</v>
      </c>
      <c r="AB27">
        <v>90.1</v>
      </c>
      <c r="AC27">
        <v>91.94</v>
      </c>
      <c r="AD27">
        <v>91.94</v>
      </c>
      <c r="AE27">
        <v>7064100</v>
      </c>
      <c r="AG27" s="18">
        <v>44000</v>
      </c>
      <c r="AH27">
        <v>32.01</v>
      </c>
      <c r="AI27">
        <v>32.5</v>
      </c>
      <c r="AJ27">
        <v>31.9</v>
      </c>
      <c r="AK27">
        <v>32.409999999999997</v>
      </c>
      <c r="AL27">
        <v>32.409999999999997</v>
      </c>
      <c r="AM27">
        <v>2057200</v>
      </c>
      <c r="AO27" s="18">
        <v>44000</v>
      </c>
      <c r="AP27">
        <v>65.83</v>
      </c>
      <c r="AQ27">
        <v>67.430000000000007</v>
      </c>
      <c r="AR27">
        <v>65.61</v>
      </c>
      <c r="AS27">
        <v>66.88</v>
      </c>
      <c r="AT27">
        <v>66.88</v>
      </c>
      <c r="AU27">
        <v>6431100</v>
      </c>
      <c r="AW27" s="18">
        <v>44000</v>
      </c>
      <c r="AX27">
        <v>9892.48</v>
      </c>
      <c r="AY27">
        <v>9959.2000000000007</v>
      </c>
      <c r="AZ27">
        <v>9885.66</v>
      </c>
      <c r="BA27">
        <v>9943.0499999999993</v>
      </c>
      <c r="BB27">
        <v>9943.0499999999993</v>
      </c>
      <c r="BC27">
        <v>4294740000</v>
      </c>
    </row>
    <row r="28" spans="1:55" x14ac:dyDescent="0.25">
      <c r="A28" s="18">
        <v>43999</v>
      </c>
      <c r="B28">
        <v>987.71</v>
      </c>
      <c r="C28">
        <v>1005</v>
      </c>
      <c r="D28">
        <v>982.57</v>
      </c>
      <c r="E28">
        <v>991.79</v>
      </c>
      <c r="F28">
        <v>991.79</v>
      </c>
      <c r="G28">
        <v>9869400</v>
      </c>
      <c r="I28" s="18">
        <v>43999</v>
      </c>
      <c r="J28">
        <v>249.99</v>
      </c>
      <c r="K28">
        <v>251</v>
      </c>
      <c r="L28">
        <v>245.71</v>
      </c>
      <c r="M28">
        <v>249</v>
      </c>
      <c r="N28">
        <v>249</v>
      </c>
      <c r="O28">
        <v>1691900</v>
      </c>
      <c r="Q28" s="18">
        <v>43999</v>
      </c>
      <c r="R28">
        <v>235</v>
      </c>
      <c r="S28">
        <v>237.59</v>
      </c>
      <c r="T28">
        <v>231.73</v>
      </c>
      <c r="U28">
        <v>235.53</v>
      </c>
      <c r="V28">
        <v>235.53</v>
      </c>
      <c r="W28">
        <v>19552800</v>
      </c>
      <c r="Y28" s="18">
        <v>43999</v>
      </c>
      <c r="Z28">
        <v>93.83</v>
      </c>
      <c r="AA28">
        <v>94</v>
      </c>
      <c r="AB28">
        <v>91.5</v>
      </c>
      <c r="AC28">
        <v>91.54</v>
      </c>
      <c r="AD28">
        <v>91.54</v>
      </c>
      <c r="AE28">
        <v>6015100</v>
      </c>
      <c r="AG28" s="18">
        <v>43999</v>
      </c>
      <c r="AH28">
        <v>33</v>
      </c>
      <c r="AI28">
        <v>33.1</v>
      </c>
      <c r="AJ28">
        <v>32.229999999999997</v>
      </c>
      <c r="AK28">
        <v>32.25</v>
      </c>
      <c r="AL28">
        <v>32.25</v>
      </c>
      <c r="AM28">
        <v>2318500</v>
      </c>
      <c r="AO28" s="18">
        <v>43999</v>
      </c>
      <c r="AP28">
        <v>68</v>
      </c>
      <c r="AQ28">
        <v>68.2</v>
      </c>
      <c r="AR28">
        <v>66.63</v>
      </c>
      <c r="AS28">
        <v>66.900000000000006</v>
      </c>
      <c r="AT28">
        <v>66.900000000000006</v>
      </c>
      <c r="AU28">
        <v>9289800</v>
      </c>
      <c r="AW28" s="18">
        <v>43999</v>
      </c>
      <c r="AX28">
        <v>9943.31</v>
      </c>
      <c r="AY28">
        <v>9991.2099999999991</v>
      </c>
      <c r="AZ28">
        <v>9891.81</v>
      </c>
      <c r="BA28">
        <v>9910.5300000000007</v>
      </c>
      <c r="BB28">
        <v>9910.5300000000007</v>
      </c>
      <c r="BC28">
        <v>4249680000</v>
      </c>
    </row>
    <row r="29" spans="1:55" x14ac:dyDescent="0.25">
      <c r="A29" s="18">
        <v>43998</v>
      </c>
      <c r="B29">
        <v>1011.85</v>
      </c>
      <c r="C29">
        <v>1012.88</v>
      </c>
      <c r="D29">
        <v>962.39</v>
      </c>
      <c r="E29">
        <v>982.13</v>
      </c>
      <c r="F29">
        <v>982.13</v>
      </c>
      <c r="G29">
        <v>14051100</v>
      </c>
      <c r="I29" s="18">
        <v>43998</v>
      </c>
      <c r="J29">
        <v>253.52</v>
      </c>
      <c r="K29">
        <v>253.68</v>
      </c>
      <c r="L29">
        <v>246.67</v>
      </c>
      <c r="M29">
        <v>248.17</v>
      </c>
      <c r="N29">
        <v>248.17</v>
      </c>
      <c r="O29">
        <v>2014200</v>
      </c>
      <c r="Q29" s="18">
        <v>43998</v>
      </c>
      <c r="R29">
        <v>237.14</v>
      </c>
      <c r="S29">
        <v>238.46</v>
      </c>
      <c r="T29">
        <v>233</v>
      </c>
      <c r="U29">
        <v>235.65</v>
      </c>
      <c r="V29">
        <v>235.65</v>
      </c>
      <c r="W29">
        <v>15236700</v>
      </c>
      <c r="Y29" s="18">
        <v>43998</v>
      </c>
      <c r="Z29">
        <v>94.99</v>
      </c>
      <c r="AA29">
        <v>95.58</v>
      </c>
      <c r="AB29">
        <v>91.49</v>
      </c>
      <c r="AC29">
        <v>94.03</v>
      </c>
      <c r="AD29">
        <v>94.03</v>
      </c>
      <c r="AE29">
        <v>8726700</v>
      </c>
      <c r="AG29" s="18">
        <v>43998</v>
      </c>
      <c r="AH29">
        <v>33.69</v>
      </c>
      <c r="AI29">
        <v>33.979999999999997</v>
      </c>
      <c r="AJ29">
        <v>32.75</v>
      </c>
      <c r="AK29">
        <v>33.06</v>
      </c>
      <c r="AL29">
        <v>33.06</v>
      </c>
      <c r="AM29">
        <v>6094300</v>
      </c>
      <c r="AO29" s="18">
        <v>43998</v>
      </c>
      <c r="AP29">
        <v>69.62</v>
      </c>
      <c r="AQ29">
        <v>70.099999999999994</v>
      </c>
      <c r="AR29">
        <v>66.05</v>
      </c>
      <c r="AS29">
        <v>67.819999999999993</v>
      </c>
      <c r="AT29">
        <v>67.819999999999993</v>
      </c>
      <c r="AU29">
        <v>11523900</v>
      </c>
      <c r="AW29" s="18">
        <v>43998</v>
      </c>
      <c r="AX29">
        <v>9949.7800000000007</v>
      </c>
      <c r="AY29">
        <v>9963.6299999999992</v>
      </c>
      <c r="AZ29">
        <v>9748.3799999999992</v>
      </c>
      <c r="BA29">
        <v>9895.8700000000008</v>
      </c>
      <c r="BB29">
        <v>9895.8700000000008</v>
      </c>
      <c r="BC29">
        <v>4639860000</v>
      </c>
    </row>
    <row r="30" spans="1:55" x14ac:dyDescent="0.25">
      <c r="A30" s="18">
        <v>43997</v>
      </c>
      <c r="B30">
        <v>917.79</v>
      </c>
      <c r="C30">
        <v>998.84</v>
      </c>
      <c r="D30">
        <v>908.5</v>
      </c>
      <c r="E30">
        <v>990.9</v>
      </c>
      <c r="F30">
        <v>990.9</v>
      </c>
      <c r="G30">
        <v>15697200</v>
      </c>
      <c r="I30" s="18">
        <v>43997</v>
      </c>
      <c r="J30">
        <v>244.72</v>
      </c>
      <c r="K30">
        <v>250.93</v>
      </c>
      <c r="L30">
        <v>241.33</v>
      </c>
      <c r="M30">
        <v>248.57</v>
      </c>
      <c r="N30">
        <v>248.57</v>
      </c>
      <c r="O30">
        <v>2101100</v>
      </c>
      <c r="Q30" s="18">
        <v>43997</v>
      </c>
      <c r="R30">
        <v>225.09</v>
      </c>
      <c r="S30">
        <v>233.77</v>
      </c>
      <c r="T30">
        <v>224.8</v>
      </c>
      <c r="U30">
        <v>232.5</v>
      </c>
      <c r="V30">
        <v>232.5</v>
      </c>
      <c r="W30">
        <v>15340300</v>
      </c>
      <c r="Y30" s="18">
        <v>43997</v>
      </c>
      <c r="Z30">
        <v>89.09</v>
      </c>
      <c r="AA30">
        <v>92.08</v>
      </c>
      <c r="AB30">
        <v>88.21</v>
      </c>
      <c r="AC30">
        <v>91.23</v>
      </c>
      <c r="AD30">
        <v>91.23</v>
      </c>
      <c r="AE30">
        <v>12289500</v>
      </c>
      <c r="AG30" s="18">
        <v>43997</v>
      </c>
      <c r="AH30">
        <v>31.69</v>
      </c>
      <c r="AI30">
        <v>33.21</v>
      </c>
      <c r="AJ30">
        <v>31.42</v>
      </c>
      <c r="AK30">
        <v>32.99</v>
      </c>
      <c r="AL30">
        <v>32.99</v>
      </c>
      <c r="AM30">
        <v>3271900</v>
      </c>
      <c r="AO30" s="18">
        <v>43997</v>
      </c>
      <c r="AP30">
        <v>63</v>
      </c>
      <c r="AQ30">
        <v>67.760000000000005</v>
      </c>
      <c r="AR30">
        <v>62.44</v>
      </c>
      <c r="AS30">
        <v>67.05</v>
      </c>
      <c r="AT30">
        <v>67.05</v>
      </c>
      <c r="AU30">
        <v>13553100</v>
      </c>
      <c r="AW30" s="18">
        <v>43997</v>
      </c>
      <c r="AX30">
        <v>9426.9</v>
      </c>
      <c r="AY30">
        <v>9756.07</v>
      </c>
      <c r="AZ30">
        <v>9403</v>
      </c>
      <c r="BA30">
        <v>9726.02</v>
      </c>
      <c r="BB30">
        <v>9726.02</v>
      </c>
      <c r="BC30">
        <v>4440650000</v>
      </c>
    </row>
    <row r="31" spans="1:55" x14ac:dyDescent="0.25">
      <c r="A31" s="18">
        <v>43994</v>
      </c>
      <c r="B31">
        <v>980</v>
      </c>
      <c r="C31">
        <v>987.98</v>
      </c>
      <c r="D31">
        <v>912.6</v>
      </c>
      <c r="E31">
        <v>935.28</v>
      </c>
      <c r="F31">
        <v>935.28</v>
      </c>
      <c r="G31">
        <v>16730200</v>
      </c>
      <c r="I31" s="18">
        <v>43994</v>
      </c>
      <c r="J31">
        <v>251.77</v>
      </c>
      <c r="K31">
        <v>252.12</v>
      </c>
      <c r="L31">
        <v>244.24</v>
      </c>
      <c r="M31">
        <v>246.91</v>
      </c>
      <c r="N31">
        <v>246.91</v>
      </c>
      <c r="O31">
        <v>2089200</v>
      </c>
      <c r="Q31" s="18">
        <v>43994</v>
      </c>
      <c r="R31">
        <v>229.9</v>
      </c>
      <c r="S31">
        <v>231.66</v>
      </c>
      <c r="T31">
        <v>224.5</v>
      </c>
      <c r="U31">
        <v>228.58</v>
      </c>
      <c r="V31">
        <v>228.58</v>
      </c>
      <c r="W31">
        <v>22071700</v>
      </c>
      <c r="Y31" s="18">
        <v>43994</v>
      </c>
      <c r="Z31">
        <v>93.62</v>
      </c>
      <c r="AA31">
        <v>93.65</v>
      </c>
      <c r="AB31">
        <v>90.01</v>
      </c>
      <c r="AC31">
        <v>92.39</v>
      </c>
      <c r="AD31">
        <v>92.39</v>
      </c>
      <c r="AE31">
        <v>9531200</v>
      </c>
      <c r="AG31" s="18">
        <v>43994</v>
      </c>
      <c r="AH31">
        <v>33.11</v>
      </c>
      <c r="AI31">
        <v>33.450000000000003</v>
      </c>
      <c r="AJ31">
        <v>32.08</v>
      </c>
      <c r="AK31">
        <v>32.96</v>
      </c>
      <c r="AL31">
        <v>32.96</v>
      </c>
      <c r="AM31">
        <v>4927200</v>
      </c>
      <c r="AO31" s="18">
        <v>43994</v>
      </c>
      <c r="AP31">
        <v>65.97</v>
      </c>
      <c r="AQ31">
        <v>66.069999999999993</v>
      </c>
      <c r="AR31">
        <v>63.36</v>
      </c>
      <c r="AS31">
        <v>65.37</v>
      </c>
      <c r="AT31">
        <v>65.37</v>
      </c>
      <c r="AU31">
        <v>9584500</v>
      </c>
      <c r="AW31" s="18">
        <v>43994</v>
      </c>
      <c r="AX31">
        <v>9715.8700000000008</v>
      </c>
      <c r="AY31">
        <v>9768.64</v>
      </c>
      <c r="AZ31">
        <v>9413.6200000000008</v>
      </c>
      <c r="BA31">
        <v>9588.81</v>
      </c>
      <c r="BB31">
        <v>9588.81</v>
      </c>
      <c r="BC31">
        <v>4366190000</v>
      </c>
    </row>
    <row r="32" spans="1:55" x14ac:dyDescent="0.25">
      <c r="A32" s="18">
        <v>43993</v>
      </c>
      <c r="B32">
        <v>990.2</v>
      </c>
      <c r="C32">
        <v>1018.96</v>
      </c>
      <c r="D32">
        <v>972</v>
      </c>
      <c r="E32">
        <v>972.84</v>
      </c>
      <c r="F32">
        <v>972.84</v>
      </c>
      <c r="G32">
        <v>15916500</v>
      </c>
      <c r="I32" s="18">
        <v>43993</v>
      </c>
      <c r="J32">
        <v>254.86</v>
      </c>
      <c r="K32">
        <v>254.96</v>
      </c>
      <c r="L32">
        <v>245.87</v>
      </c>
      <c r="M32">
        <v>248.33</v>
      </c>
      <c r="N32">
        <v>248.33</v>
      </c>
      <c r="O32">
        <v>2429600</v>
      </c>
      <c r="Q32" s="18">
        <v>43993</v>
      </c>
      <c r="R32">
        <v>229.94</v>
      </c>
      <c r="S32">
        <v>232.89</v>
      </c>
      <c r="T32">
        <v>223.55</v>
      </c>
      <c r="U32">
        <v>224.43</v>
      </c>
      <c r="V32">
        <v>224.43</v>
      </c>
      <c r="W32">
        <v>26708200</v>
      </c>
      <c r="Y32" s="18">
        <v>43993</v>
      </c>
      <c r="Z32">
        <v>92.3</v>
      </c>
      <c r="AA32">
        <v>94.19</v>
      </c>
      <c r="AB32">
        <v>89.12</v>
      </c>
      <c r="AC32">
        <v>89.37</v>
      </c>
      <c r="AD32">
        <v>89.37</v>
      </c>
      <c r="AE32">
        <v>14944800</v>
      </c>
      <c r="AG32" s="18">
        <v>43993</v>
      </c>
      <c r="AH32">
        <v>32.93</v>
      </c>
      <c r="AI32">
        <v>33.340000000000003</v>
      </c>
      <c r="AJ32">
        <v>31.38</v>
      </c>
      <c r="AK32">
        <v>31.4</v>
      </c>
      <c r="AL32">
        <v>31.4</v>
      </c>
      <c r="AM32">
        <v>6454700</v>
      </c>
      <c r="AO32" s="18">
        <v>43993</v>
      </c>
      <c r="AP32">
        <v>63.99</v>
      </c>
      <c r="AQ32">
        <v>65.709999999999994</v>
      </c>
      <c r="AR32">
        <v>62.82</v>
      </c>
      <c r="AS32">
        <v>62.85</v>
      </c>
      <c r="AT32">
        <v>62.85</v>
      </c>
      <c r="AU32">
        <v>13709000</v>
      </c>
      <c r="AW32" s="18">
        <v>43993</v>
      </c>
      <c r="AX32">
        <v>9791.24</v>
      </c>
      <c r="AY32">
        <v>9868.08</v>
      </c>
      <c r="AZ32">
        <v>9491.31</v>
      </c>
      <c r="BA32">
        <v>9492.73</v>
      </c>
      <c r="BB32">
        <v>9492.73</v>
      </c>
      <c r="BC32">
        <v>5271000000</v>
      </c>
    </row>
    <row r="33" spans="1:55" x14ac:dyDescent="0.25">
      <c r="A33" s="18">
        <v>43992</v>
      </c>
      <c r="B33">
        <v>991.88</v>
      </c>
      <c r="C33">
        <v>1027.48</v>
      </c>
      <c r="D33">
        <v>982.5</v>
      </c>
      <c r="E33">
        <v>1025.05</v>
      </c>
      <c r="F33">
        <v>1025.05</v>
      </c>
      <c r="G33">
        <v>18563400</v>
      </c>
      <c r="I33" s="18">
        <v>43992</v>
      </c>
      <c r="J33">
        <v>258.81</v>
      </c>
      <c r="K33">
        <v>260.89999999999998</v>
      </c>
      <c r="L33">
        <v>255.57</v>
      </c>
      <c r="M33">
        <v>256.79000000000002</v>
      </c>
      <c r="N33">
        <v>256.79000000000002</v>
      </c>
      <c r="O33">
        <v>1668600</v>
      </c>
      <c r="Q33" s="18">
        <v>43992</v>
      </c>
      <c r="R33">
        <v>240.96</v>
      </c>
      <c r="S33">
        <v>241.21</v>
      </c>
      <c r="T33">
        <v>235.28</v>
      </c>
      <c r="U33">
        <v>236.73</v>
      </c>
      <c r="V33">
        <v>236.73</v>
      </c>
      <c r="W33">
        <v>20720700</v>
      </c>
      <c r="Y33" s="18">
        <v>43992</v>
      </c>
      <c r="Z33">
        <v>101</v>
      </c>
      <c r="AA33">
        <v>101.5</v>
      </c>
      <c r="AB33">
        <v>97.56</v>
      </c>
      <c r="AC33">
        <v>97.58</v>
      </c>
      <c r="AD33">
        <v>97.58</v>
      </c>
      <c r="AE33">
        <v>10486300</v>
      </c>
      <c r="AG33" s="18">
        <v>43992</v>
      </c>
      <c r="AH33">
        <v>35.159999999999997</v>
      </c>
      <c r="AI33">
        <v>35.17</v>
      </c>
      <c r="AJ33">
        <v>34.36</v>
      </c>
      <c r="AK33">
        <v>34.380000000000003</v>
      </c>
      <c r="AL33">
        <v>34.380000000000003</v>
      </c>
      <c r="AM33">
        <v>3583400</v>
      </c>
      <c r="AO33" s="18">
        <v>43992</v>
      </c>
      <c r="AP33">
        <v>70.14</v>
      </c>
      <c r="AQ33">
        <v>70.290000000000006</v>
      </c>
      <c r="AR33">
        <v>68.05</v>
      </c>
      <c r="AS33">
        <v>68.36</v>
      </c>
      <c r="AT33">
        <v>68.36</v>
      </c>
      <c r="AU33">
        <v>9765900</v>
      </c>
      <c r="AW33" s="18">
        <v>43992</v>
      </c>
      <c r="AX33">
        <v>10012.32</v>
      </c>
      <c r="AY33">
        <v>10086.89</v>
      </c>
      <c r="AZ33">
        <v>9962.58</v>
      </c>
      <c r="BA33">
        <v>10020.35</v>
      </c>
      <c r="BB33">
        <v>10020.35</v>
      </c>
      <c r="BC33">
        <v>5128400000</v>
      </c>
    </row>
    <row r="34" spans="1:55" x14ac:dyDescent="0.25">
      <c r="A34" s="18">
        <v>43991</v>
      </c>
      <c r="B34">
        <v>940.01</v>
      </c>
      <c r="C34">
        <v>954.44</v>
      </c>
      <c r="D34">
        <v>923.93</v>
      </c>
      <c r="E34">
        <v>940.67</v>
      </c>
      <c r="F34">
        <v>940.67</v>
      </c>
      <c r="G34">
        <v>11388200</v>
      </c>
      <c r="I34" s="18">
        <v>43991</v>
      </c>
      <c r="J34">
        <v>259.11</v>
      </c>
      <c r="K34">
        <v>259.14999999999998</v>
      </c>
      <c r="L34">
        <v>254.06</v>
      </c>
      <c r="M34">
        <v>258.67</v>
      </c>
      <c r="N34">
        <v>258.67</v>
      </c>
      <c r="O34">
        <v>1997600</v>
      </c>
      <c r="Q34" s="18">
        <v>43991</v>
      </c>
      <c r="R34">
        <v>231.52</v>
      </c>
      <c r="S34">
        <v>239.77</v>
      </c>
      <c r="T34">
        <v>230.41</v>
      </c>
      <c r="U34">
        <v>238.67</v>
      </c>
      <c r="V34">
        <v>238.67</v>
      </c>
      <c r="W34">
        <v>27462900</v>
      </c>
      <c r="Y34" s="18">
        <v>43991</v>
      </c>
      <c r="Z34">
        <v>100.7</v>
      </c>
      <c r="AA34">
        <v>102.93</v>
      </c>
      <c r="AB34">
        <v>99.83</v>
      </c>
      <c r="AC34">
        <v>101.53</v>
      </c>
      <c r="AD34">
        <v>101.53</v>
      </c>
      <c r="AE34">
        <v>10745400</v>
      </c>
      <c r="AG34" s="18">
        <v>43991</v>
      </c>
      <c r="AH34">
        <v>35.78</v>
      </c>
      <c r="AI34">
        <v>35.909999999999997</v>
      </c>
      <c r="AJ34">
        <v>35.159999999999997</v>
      </c>
      <c r="AK34">
        <v>35.33</v>
      </c>
      <c r="AL34">
        <v>35.33</v>
      </c>
      <c r="AM34">
        <v>5614800</v>
      </c>
      <c r="AO34" s="18">
        <v>43991</v>
      </c>
      <c r="AP34">
        <v>72.650000000000006</v>
      </c>
      <c r="AQ34">
        <v>72.650000000000006</v>
      </c>
      <c r="AR34">
        <v>70.510000000000005</v>
      </c>
      <c r="AS34">
        <v>70.540000000000006</v>
      </c>
      <c r="AT34">
        <v>70.540000000000006</v>
      </c>
      <c r="AU34">
        <v>9964900</v>
      </c>
      <c r="AW34" s="18">
        <v>43991</v>
      </c>
      <c r="AX34">
        <v>9867.19</v>
      </c>
      <c r="AY34">
        <v>10002.5</v>
      </c>
      <c r="AZ34">
        <v>9863.27</v>
      </c>
      <c r="BA34">
        <v>9953.75</v>
      </c>
      <c r="BB34">
        <v>9953.75</v>
      </c>
      <c r="BC34">
        <v>5281860000</v>
      </c>
    </row>
    <row r="35" spans="1:55" x14ac:dyDescent="0.25">
      <c r="A35" s="18">
        <v>43990</v>
      </c>
      <c r="B35">
        <v>919</v>
      </c>
      <c r="C35">
        <v>950</v>
      </c>
      <c r="D35">
        <v>909.16</v>
      </c>
      <c r="E35">
        <v>949.92</v>
      </c>
      <c r="F35">
        <v>949.92</v>
      </c>
      <c r="G35">
        <v>14174700</v>
      </c>
      <c r="I35" s="18">
        <v>43990</v>
      </c>
      <c r="J35">
        <v>253.06</v>
      </c>
      <c r="K35">
        <v>260.74</v>
      </c>
      <c r="L35">
        <v>250.57</v>
      </c>
      <c r="M35">
        <v>260.48</v>
      </c>
      <c r="N35">
        <v>260.48</v>
      </c>
      <c r="O35">
        <v>2037300</v>
      </c>
      <c r="Q35" s="18">
        <v>43990</v>
      </c>
      <c r="R35">
        <v>229.03</v>
      </c>
      <c r="S35">
        <v>231.55</v>
      </c>
      <c r="T35">
        <v>227.41</v>
      </c>
      <c r="U35">
        <v>231.4</v>
      </c>
      <c r="V35">
        <v>231.4</v>
      </c>
      <c r="W35">
        <v>15466500</v>
      </c>
      <c r="Y35" s="18">
        <v>43990</v>
      </c>
      <c r="Z35">
        <v>102.63</v>
      </c>
      <c r="AA35">
        <v>103.59</v>
      </c>
      <c r="AB35">
        <v>100.87</v>
      </c>
      <c r="AC35">
        <v>103.24</v>
      </c>
      <c r="AD35">
        <v>103.24</v>
      </c>
      <c r="AE35">
        <v>11090700</v>
      </c>
      <c r="AG35" s="18">
        <v>43990</v>
      </c>
      <c r="AH35">
        <v>37.369999999999997</v>
      </c>
      <c r="AI35">
        <v>37.659999999999997</v>
      </c>
      <c r="AJ35">
        <v>36.47</v>
      </c>
      <c r="AK35">
        <v>37.65</v>
      </c>
      <c r="AL35">
        <v>37.65</v>
      </c>
      <c r="AM35">
        <v>6611200</v>
      </c>
      <c r="AO35" s="18">
        <v>43990</v>
      </c>
      <c r="AP35">
        <v>72.5</v>
      </c>
      <c r="AQ35">
        <v>74.930000000000007</v>
      </c>
      <c r="AR35">
        <v>72.5</v>
      </c>
      <c r="AS35">
        <v>74.16</v>
      </c>
      <c r="AT35">
        <v>74.16</v>
      </c>
      <c r="AU35">
        <v>11945500</v>
      </c>
      <c r="AW35" s="18">
        <v>43990</v>
      </c>
      <c r="AX35">
        <v>9823.44</v>
      </c>
      <c r="AY35">
        <v>9927.1299999999992</v>
      </c>
      <c r="AZ35">
        <v>9780.61</v>
      </c>
      <c r="BA35">
        <v>9924.75</v>
      </c>
      <c r="BB35">
        <v>9924.75</v>
      </c>
      <c r="BC35">
        <v>6143120000</v>
      </c>
    </row>
    <row r="36" spans="1:55" x14ac:dyDescent="0.25">
      <c r="A36" s="18">
        <v>43987</v>
      </c>
      <c r="B36">
        <v>877.84</v>
      </c>
      <c r="C36">
        <v>886.52</v>
      </c>
      <c r="D36">
        <v>866.2</v>
      </c>
      <c r="E36">
        <v>885.66</v>
      </c>
      <c r="F36">
        <v>885.66</v>
      </c>
      <c r="G36">
        <v>7811900</v>
      </c>
      <c r="I36" s="18">
        <v>43987</v>
      </c>
      <c r="J36">
        <v>252.18</v>
      </c>
      <c r="K36">
        <v>258.56</v>
      </c>
      <c r="L36">
        <v>250.01</v>
      </c>
      <c r="M36">
        <v>254.38</v>
      </c>
      <c r="N36">
        <v>254.38</v>
      </c>
      <c r="O36">
        <v>3092700</v>
      </c>
      <c r="Q36" s="18">
        <v>43987</v>
      </c>
      <c r="R36">
        <v>226.71</v>
      </c>
      <c r="S36">
        <v>231.35</v>
      </c>
      <c r="T36">
        <v>225.31</v>
      </c>
      <c r="U36">
        <v>230.77</v>
      </c>
      <c r="V36">
        <v>230.77</v>
      </c>
      <c r="W36">
        <v>16750400</v>
      </c>
      <c r="Y36" s="18">
        <v>43987</v>
      </c>
      <c r="Z36">
        <v>99.08</v>
      </c>
      <c r="AA36">
        <v>102.05</v>
      </c>
      <c r="AB36">
        <v>99.05</v>
      </c>
      <c r="AC36">
        <v>100.81</v>
      </c>
      <c r="AD36">
        <v>100.81</v>
      </c>
      <c r="AE36">
        <v>12760100</v>
      </c>
      <c r="AG36" s="18">
        <v>43987</v>
      </c>
      <c r="AH36">
        <v>35.64</v>
      </c>
      <c r="AI36">
        <v>36.340000000000003</v>
      </c>
      <c r="AJ36">
        <v>35.61</v>
      </c>
      <c r="AK36">
        <v>35.99</v>
      </c>
      <c r="AL36">
        <v>35.99</v>
      </c>
      <c r="AM36">
        <v>7336300</v>
      </c>
      <c r="AO36" s="18">
        <v>43987</v>
      </c>
      <c r="AP36">
        <v>71.03</v>
      </c>
      <c r="AQ36">
        <v>73.739999999999995</v>
      </c>
      <c r="AR36">
        <v>71</v>
      </c>
      <c r="AS36">
        <v>72.069999999999993</v>
      </c>
      <c r="AT36">
        <v>72.069999999999993</v>
      </c>
      <c r="AU36">
        <v>14203100</v>
      </c>
      <c r="AW36" s="18">
        <v>43987</v>
      </c>
      <c r="AX36">
        <v>9703.5400000000009</v>
      </c>
      <c r="AY36">
        <v>9845.69</v>
      </c>
      <c r="AZ36">
        <v>9685.35</v>
      </c>
      <c r="BA36">
        <v>9814.08</v>
      </c>
      <c r="BB36">
        <v>9814.08</v>
      </c>
      <c r="BC36">
        <v>6572850000</v>
      </c>
    </row>
    <row r="37" spans="1:55" x14ac:dyDescent="0.25">
      <c r="A37" s="18">
        <v>43986</v>
      </c>
      <c r="B37">
        <v>889.88</v>
      </c>
      <c r="C37">
        <v>895.75</v>
      </c>
      <c r="D37">
        <v>858.44</v>
      </c>
      <c r="E37">
        <v>864.38</v>
      </c>
      <c r="F37">
        <v>864.38</v>
      </c>
      <c r="G37">
        <v>8887700</v>
      </c>
      <c r="I37" s="18">
        <v>43986</v>
      </c>
      <c r="J37">
        <v>257.66000000000003</v>
      </c>
      <c r="K37">
        <v>260.55</v>
      </c>
      <c r="L37">
        <v>248.08</v>
      </c>
      <c r="M37">
        <v>251.89</v>
      </c>
      <c r="N37">
        <v>251.89</v>
      </c>
      <c r="O37">
        <v>3003100</v>
      </c>
      <c r="Q37" s="18">
        <v>43986</v>
      </c>
      <c r="R37">
        <v>229.56</v>
      </c>
      <c r="S37">
        <v>231.63</v>
      </c>
      <c r="T37">
        <v>224.61</v>
      </c>
      <c r="U37">
        <v>226.29</v>
      </c>
      <c r="V37">
        <v>226.29</v>
      </c>
      <c r="W37">
        <v>17041500</v>
      </c>
      <c r="Y37" s="18">
        <v>43986</v>
      </c>
      <c r="Z37">
        <v>96.78</v>
      </c>
      <c r="AA37">
        <v>96.89</v>
      </c>
      <c r="AB37">
        <v>95.16</v>
      </c>
      <c r="AC37">
        <v>96.28</v>
      </c>
      <c r="AD37">
        <v>96.28</v>
      </c>
      <c r="AE37">
        <v>6371700</v>
      </c>
      <c r="AG37" s="18">
        <v>43986</v>
      </c>
      <c r="AH37">
        <v>33.340000000000003</v>
      </c>
      <c r="AI37">
        <v>34.07</v>
      </c>
      <c r="AJ37">
        <v>33.020000000000003</v>
      </c>
      <c r="AK37">
        <v>33.869999999999997</v>
      </c>
      <c r="AL37">
        <v>33.869999999999997</v>
      </c>
      <c r="AM37">
        <v>4748700</v>
      </c>
      <c r="AO37" s="18">
        <v>43986</v>
      </c>
      <c r="AP37">
        <v>67.099999999999994</v>
      </c>
      <c r="AQ37">
        <v>67.83</v>
      </c>
      <c r="AR37">
        <v>66.31</v>
      </c>
      <c r="AS37">
        <v>67.510000000000005</v>
      </c>
      <c r="AT37">
        <v>67.510000000000005</v>
      </c>
      <c r="AU37">
        <v>10135000</v>
      </c>
      <c r="AW37" s="18">
        <v>43986</v>
      </c>
      <c r="AX37">
        <v>9649.65</v>
      </c>
      <c r="AY37">
        <v>9716.14</v>
      </c>
      <c r="AZ37">
        <v>9560.41</v>
      </c>
      <c r="BA37">
        <v>9615.81</v>
      </c>
      <c r="BB37">
        <v>9615.81</v>
      </c>
      <c r="BC37">
        <v>6074320000</v>
      </c>
    </row>
    <row r="38" spans="1:55" x14ac:dyDescent="0.25">
      <c r="A38" s="18">
        <v>43985</v>
      </c>
      <c r="B38">
        <v>888.12</v>
      </c>
      <c r="C38">
        <v>897.94</v>
      </c>
      <c r="D38">
        <v>880.1</v>
      </c>
      <c r="E38">
        <v>882.96</v>
      </c>
      <c r="F38">
        <v>882.96</v>
      </c>
      <c r="G38">
        <v>7949500</v>
      </c>
      <c r="I38" s="18">
        <v>43985</v>
      </c>
      <c r="J38">
        <v>258.19</v>
      </c>
      <c r="K38">
        <v>262.26</v>
      </c>
      <c r="L38">
        <v>256.7</v>
      </c>
      <c r="M38">
        <v>259.58</v>
      </c>
      <c r="N38">
        <v>259.58</v>
      </c>
      <c r="O38">
        <v>1825800</v>
      </c>
      <c r="Q38" s="18">
        <v>43985</v>
      </c>
      <c r="R38">
        <v>232.11</v>
      </c>
      <c r="S38">
        <v>232.65</v>
      </c>
      <c r="T38">
        <v>228.53</v>
      </c>
      <c r="U38">
        <v>230.16</v>
      </c>
      <c r="V38">
        <v>230.16</v>
      </c>
      <c r="W38">
        <v>15380300</v>
      </c>
      <c r="Y38" s="18">
        <v>43985</v>
      </c>
      <c r="Z38">
        <v>95.97</v>
      </c>
      <c r="AA38">
        <v>97.73</v>
      </c>
      <c r="AB38">
        <v>95.75</v>
      </c>
      <c r="AC38">
        <v>97.18</v>
      </c>
      <c r="AD38">
        <v>97.18</v>
      </c>
      <c r="AE38">
        <v>8440200</v>
      </c>
      <c r="AG38" s="18">
        <v>43985</v>
      </c>
      <c r="AH38">
        <v>33.47</v>
      </c>
      <c r="AI38">
        <v>34.020000000000003</v>
      </c>
      <c r="AJ38">
        <v>33.36</v>
      </c>
      <c r="AK38">
        <v>33.75</v>
      </c>
      <c r="AL38">
        <v>33.75</v>
      </c>
      <c r="AM38">
        <v>4547800</v>
      </c>
      <c r="AO38" s="18">
        <v>43985</v>
      </c>
      <c r="AP38">
        <v>64.5</v>
      </c>
      <c r="AQ38">
        <v>67.73</v>
      </c>
      <c r="AR38">
        <v>64.44</v>
      </c>
      <c r="AS38">
        <v>67.47</v>
      </c>
      <c r="AT38">
        <v>67.47</v>
      </c>
      <c r="AU38">
        <v>15875900</v>
      </c>
      <c r="AW38" s="18">
        <v>43985</v>
      </c>
      <c r="AX38">
        <v>9651.86</v>
      </c>
      <c r="AY38">
        <v>9707.7800000000007</v>
      </c>
      <c r="AZ38">
        <v>9627.17</v>
      </c>
      <c r="BA38">
        <v>9682.91</v>
      </c>
      <c r="BB38">
        <v>9682.91</v>
      </c>
      <c r="BC38">
        <v>4638380000</v>
      </c>
    </row>
    <row r="39" spans="1:55" x14ac:dyDescent="0.25">
      <c r="A39" s="18">
        <v>43984</v>
      </c>
      <c r="B39">
        <v>894.7</v>
      </c>
      <c r="C39">
        <v>908.66</v>
      </c>
      <c r="D39">
        <v>871</v>
      </c>
      <c r="E39">
        <v>881.56</v>
      </c>
      <c r="F39">
        <v>881.56</v>
      </c>
      <c r="G39">
        <v>13565600</v>
      </c>
      <c r="I39" s="18"/>
      <c r="J39" s="14"/>
      <c r="K39" s="14"/>
      <c r="L39" s="14"/>
      <c r="M39" s="14"/>
      <c r="N39" s="14"/>
      <c r="O39" s="14"/>
      <c r="Q39" s="18">
        <v>43984</v>
      </c>
      <c r="R39">
        <v>230.94</v>
      </c>
      <c r="S39">
        <v>233</v>
      </c>
      <c r="T39">
        <v>226.56</v>
      </c>
      <c r="U39">
        <v>232.72</v>
      </c>
      <c r="V39">
        <v>232.72</v>
      </c>
      <c r="W39">
        <v>20919000</v>
      </c>
      <c r="Y39" s="18">
        <v>43984</v>
      </c>
      <c r="Z39">
        <v>93.78</v>
      </c>
      <c r="AA39">
        <v>95.22</v>
      </c>
      <c r="AB39">
        <v>93.29</v>
      </c>
      <c r="AC39">
        <v>94.69</v>
      </c>
      <c r="AD39">
        <v>94.69</v>
      </c>
      <c r="AE39">
        <v>7880300</v>
      </c>
      <c r="AG39" s="18">
        <v>43984</v>
      </c>
      <c r="AH39">
        <v>32.17</v>
      </c>
      <c r="AI39">
        <v>32.43</v>
      </c>
      <c r="AJ39">
        <v>32</v>
      </c>
      <c r="AK39">
        <v>32.25</v>
      </c>
      <c r="AL39">
        <v>32.25</v>
      </c>
      <c r="AM39">
        <v>3336900</v>
      </c>
      <c r="AO39" s="18">
        <v>43984</v>
      </c>
      <c r="AP39">
        <v>63.7</v>
      </c>
      <c r="AQ39">
        <v>64.2</v>
      </c>
      <c r="AR39">
        <v>62.56</v>
      </c>
      <c r="AS39">
        <v>63.4</v>
      </c>
      <c r="AT39">
        <v>63.4</v>
      </c>
      <c r="AU39">
        <v>14938400</v>
      </c>
      <c r="AW39" s="18">
        <v>43984</v>
      </c>
      <c r="AX39">
        <v>9566.5300000000007</v>
      </c>
      <c r="AY39">
        <v>9611.2199999999993</v>
      </c>
      <c r="AZ39">
        <v>9472.08</v>
      </c>
      <c r="BA39">
        <v>9608.3799999999992</v>
      </c>
      <c r="BB39">
        <v>9608.3799999999992</v>
      </c>
      <c r="BC39">
        <v>3962460000</v>
      </c>
    </row>
    <row r="40" spans="1:55" x14ac:dyDescent="0.25">
      <c r="A40" s="18">
        <v>43983</v>
      </c>
      <c r="B40">
        <v>858</v>
      </c>
      <c r="C40">
        <v>899</v>
      </c>
      <c r="D40">
        <v>854.1</v>
      </c>
      <c r="E40">
        <v>898.1</v>
      </c>
      <c r="F40">
        <v>898.1</v>
      </c>
      <c r="G40">
        <v>14939500</v>
      </c>
      <c r="I40" s="18"/>
      <c r="J40" s="14"/>
      <c r="K40" s="14"/>
      <c r="L40" s="14"/>
      <c r="M40" s="14"/>
      <c r="N40" s="14"/>
      <c r="O40" s="14"/>
      <c r="Q40" s="18">
        <v>43983</v>
      </c>
      <c r="R40">
        <v>224.59</v>
      </c>
      <c r="S40">
        <v>232.44</v>
      </c>
      <c r="T40">
        <v>223.5</v>
      </c>
      <c r="U40">
        <v>231.91</v>
      </c>
      <c r="V40">
        <v>231.91</v>
      </c>
      <c r="W40">
        <v>18223800</v>
      </c>
      <c r="Y40" s="18">
        <v>43983</v>
      </c>
      <c r="Z40">
        <v>90.94</v>
      </c>
      <c r="AA40">
        <v>93.85</v>
      </c>
      <c r="AB40">
        <v>90.11</v>
      </c>
      <c r="AC40">
        <v>92.79</v>
      </c>
      <c r="AD40">
        <v>92.79</v>
      </c>
      <c r="AE40">
        <v>7344000</v>
      </c>
      <c r="AG40" s="18">
        <v>43983</v>
      </c>
      <c r="AH40">
        <v>30.66</v>
      </c>
      <c r="AI40">
        <v>31.63</v>
      </c>
      <c r="AJ40">
        <v>30.54</v>
      </c>
      <c r="AK40">
        <v>31.58</v>
      </c>
      <c r="AL40">
        <v>31.58</v>
      </c>
      <c r="AM40">
        <v>4063000</v>
      </c>
      <c r="AO40" s="18">
        <v>43983</v>
      </c>
      <c r="AP40">
        <v>65</v>
      </c>
      <c r="AQ40">
        <v>66.040000000000006</v>
      </c>
      <c r="AR40">
        <v>64.069999999999993</v>
      </c>
      <c r="AS40">
        <v>64.12</v>
      </c>
      <c r="AT40">
        <v>64.12</v>
      </c>
      <c r="AU40">
        <v>11314000</v>
      </c>
      <c r="AW40" s="18">
        <v>43983</v>
      </c>
      <c r="AX40">
        <v>9471.42</v>
      </c>
      <c r="AY40">
        <v>9571.2800000000007</v>
      </c>
      <c r="AZ40">
        <v>9462.32</v>
      </c>
      <c r="BA40">
        <v>9552.0499999999993</v>
      </c>
      <c r="BB40">
        <v>9552.0499999999993</v>
      </c>
      <c r="BC40">
        <v>3824770000</v>
      </c>
    </row>
    <row r="41" spans="1:55" x14ac:dyDescent="0.25">
      <c r="A41" s="18">
        <v>43980</v>
      </c>
      <c r="B41">
        <v>808.75</v>
      </c>
      <c r="C41">
        <v>835</v>
      </c>
      <c r="D41">
        <v>804.21</v>
      </c>
      <c r="E41">
        <v>835</v>
      </c>
      <c r="F41">
        <v>835</v>
      </c>
      <c r="G41">
        <v>11812500</v>
      </c>
      <c r="I41" s="18"/>
      <c r="J41" s="14"/>
      <c r="K41" s="14"/>
      <c r="L41" s="14"/>
      <c r="M41" s="14"/>
      <c r="N41" s="14"/>
      <c r="O41" s="14"/>
      <c r="Q41" s="18">
        <v>43980</v>
      </c>
      <c r="R41">
        <v>225.2</v>
      </c>
      <c r="S41">
        <v>227.49</v>
      </c>
      <c r="T41">
        <v>222.88</v>
      </c>
      <c r="U41">
        <v>225.09</v>
      </c>
      <c r="V41">
        <v>225.09</v>
      </c>
      <c r="W41">
        <v>23322500</v>
      </c>
      <c r="Y41" s="18">
        <v>43980</v>
      </c>
      <c r="Z41">
        <v>90.19</v>
      </c>
      <c r="AA41">
        <v>91.89</v>
      </c>
      <c r="AB41">
        <v>89.26</v>
      </c>
      <c r="AC41">
        <v>91.7</v>
      </c>
      <c r="AD41">
        <v>91.7</v>
      </c>
      <c r="AE41">
        <v>17016900</v>
      </c>
      <c r="AG41" s="18">
        <v>43980</v>
      </c>
      <c r="AH41">
        <v>30.27</v>
      </c>
      <c r="AI41">
        <v>30.52</v>
      </c>
      <c r="AJ41">
        <v>29.94</v>
      </c>
      <c r="AK41">
        <v>30.44</v>
      </c>
      <c r="AL41">
        <v>30.44</v>
      </c>
      <c r="AM41">
        <v>5037600</v>
      </c>
      <c r="AO41" s="18">
        <v>43980</v>
      </c>
      <c r="AP41">
        <v>65.599999999999994</v>
      </c>
      <c r="AQ41">
        <v>66.599999999999994</v>
      </c>
      <c r="AR41">
        <v>64.14</v>
      </c>
      <c r="AS41">
        <v>64.52</v>
      </c>
      <c r="AT41">
        <v>64.52</v>
      </c>
      <c r="AU41">
        <v>13959000</v>
      </c>
      <c r="AW41" s="18">
        <v>43980</v>
      </c>
      <c r="AX41">
        <v>9382.35</v>
      </c>
      <c r="AY41">
        <v>9505.5499999999993</v>
      </c>
      <c r="AZ41">
        <v>9324.73</v>
      </c>
      <c r="BA41">
        <v>9489.8700000000008</v>
      </c>
      <c r="BB41">
        <v>9489.8700000000008</v>
      </c>
      <c r="BC41">
        <v>423570000</v>
      </c>
    </row>
    <row r="42" spans="1:55" x14ac:dyDescent="0.25">
      <c r="A42" s="18">
        <v>43979</v>
      </c>
      <c r="B42">
        <v>813.51</v>
      </c>
      <c r="C42">
        <v>824.75</v>
      </c>
      <c r="D42">
        <v>801.69</v>
      </c>
      <c r="E42">
        <v>805.81</v>
      </c>
      <c r="F42">
        <v>805.81</v>
      </c>
      <c r="G42">
        <v>7255600</v>
      </c>
      <c r="I42" s="18"/>
      <c r="J42" s="14"/>
      <c r="K42" s="14"/>
      <c r="L42" s="14"/>
      <c r="M42" s="14"/>
      <c r="N42" s="14"/>
      <c r="O42" s="14"/>
      <c r="Q42" s="18">
        <v>43979</v>
      </c>
      <c r="R42">
        <v>224.3</v>
      </c>
      <c r="S42">
        <v>231.63</v>
      </c>
      <c r="T42">
        <v>224</v>
      </c>
      <c r="U42">
        <v>225.46</v>
      </c>
      <c r="V42">
        <v>225.46</v>
      </c>
      <c r="W42">
        <v>29377200</v>
      </c>
      <c r="Y42" s="18">
        <v>43979</v>
      </c>
      <c r="Z42">
        <v>93.61</v>
      </c>
      <c r="AA42">
        <v>93.9</v>
      </c>
      <c r="AB42">
        <v>90.79</v>
      </c>
      <c r="AC42">
        <v>90.87</v>
      </c>
      <c r="AD42">
        <v>90.87</v>
      </c>
      <c r="AE42">
        <v>9633300</v>
      </c>
      <c r="AG42" s="18">
        <v>43979</v>
      </c>
      <c r="AH42">
        <v>31.5</v>
      </c>
      <c r="AI42">
        <v>31.5</v>
      </c>
      <c r="AJ42">
        <v>30.81</v>
      </c>
      <c r="AK42">
        <v>30.91</v>
      </c>
      <c r="AL42">
        <v>30.91</v>
      </c>
      <c r="AM42">
        <v>6239000</v>
      </c>
      <c r="AO42" s="18">
        <v>43979</v>
      </c>
      <c r="AP42">
        <v>68.78</v>
      </c>
      <c r="AQ42">
        <v>68.78</v>
      </c>
      <c r="AR42">
        <v>66.14</v>
      </c>
      <c r="AS42">
        <v>67.27</v>
      </c>
      <c r="AT42">
        <v>67.27</v>
      </c>
      <c r="AU42">
        <v>12683200</v>
      </c>
      <c r="AW42" s="18">
        <v>43979</v>
      </c>
      <c r="AX42">
        <v>9392.99</v>
      </c>
      <c r="AY42">
        <v>9523.64</v>
      </c>
      <c r="AZ42">
        <v>9345.2800000000007</v>
      </c>
      <c r="BA42">
        <v>9368.99</v>
      </c>
      <c r="BB42">
        <v>9368.99</v>
      </c>
      <c r="BC42">
        <v>4064220000</v>
      </c>
    </row>
    <row r="43" spans="1:55" x14ac:dyDescent="0.25">
      <c r="A43" s="18">
        <v>43978</v>
      </c>
      <c r="B43">
        <v>820.86</v>
      </c>
      <c r="C43">
        <v>827.71</v>
      </c>
      <c r="D43">
        <v>785</v>
      </c>
      <c r="E43">
        <v>820.23</v>
      </c>
      <c r="F43">
        <v>820.23</v>
      </c>
      <c r="G43">
        <v>11549500</v>
      </c>
      <c r="I43" s="18"/>
      <c r="J43" s="14"/>
      <c r="K43" s="14"/>
      <c r="L43" s="14"/>
      <c r="M43" s="14"/>
      <c r="N43" s="14"/>
      <c r="O43" s="14"/>
      <c r="Q43" s="18">
        <v>43978</v>
      </c>
      <c r="R43">
        <v>229.07</v>
      </c>
      <c r="S43">
        <v>230.56</v>
      </c>
      <c r="T43">
        <v>221.13</v>
      </c>
      <c r="U43">
        <v>229.14</v>
      </c>
      <c r="V43">
        <v>229.14</v>
      </c>
      <c r="W43">
        <v>34697600</v>
      </c>
      <c r="Y43" s="18">
        <v>43978</v>
      </c>
      <c r="Z43">
        <v>94.68</v>
      </c>
      <c r="AA43">
        <v>94.69</v>
      </c>
      <c r="AB43">
        <v>92.11</v>
      </c>
      <c r="AC43">
        <v>93.9</v>
      </c>
      <c r="AD43">
        <v>93.9</v>
      </c>
      <c r="AE43">
        <v>7822600</v>
      </c>
      <c r="AG43" s="18">
        <v>43978</v>
      </c>
      <c r="AH43">
        <v>31.62</v>
      </c>
      <c r="AI43">
        <v>31.68</v>
      </c>
      <c r="AJ43">
        <v>30.42</v>
      </c>
      <c r="AK43">
        <v>31.07</v>
      </c>
      <c r="AL43">
        <v>31.07</v>
      </c>
      <c r="AM43">
        <v>6094200</v>
      </c>
      <c r="AO43" s="18">
        <v>43978</v>
      </c>
      <c r="AP43">
        <v>67</v>
      </c>
      <c r="AQ43">
        <v>67.989999999999995</v>
      </c>
      <c r="AR43">
        <v>65.17</v>
      </c>
      <c r="AS43">
        <v>66.650000000000006</v>
      </c>
      <c r="AT43">
        <v>66.650000000000006</v>
      </c>
      <c r="AU43">
        <v>13951600</v>
      </c>
      <c r="AW43" s="18">
        <v>43978</v>
      </c>
      <c r="AX43">
        <v>9346.1200000000008</v>
      </c>
      <c r="AY43">
        <v>9414.6200000000008</v>
      </c>
      <c r="AZ43">
        <v>9144.2800000000007</v>
      </c>
      <c r="BA43">
        <v>9412.36</v>
      </c>
      <c r="BB43">
        <v>9412.36</v>
      </c>
      <c r="BC43">
        <v>4462450000</v>
      </c>
    </row>
    <row r="44" spans="1:55" x14ac:dyDescent="0.25">
      <c r="A44" s="18">
        <v>43977</v>
      </c>
      <c r="B44">
        <v>834.5</v>
      </c>
      <c r="C44">
        <v>834.6</v>
      </c>
      <c r="D44">
        <v>815.71</v>
      </c>
      <c r="E44">
        <v>818.87</v>
      </c>
      <c r="F44">
        <v>818.87</v>
      </c>
      <c r="G44">
        <v>8089700</v>
      </c>
      <c r="I44" s="18"/>
      <c r="J44" s="14"/>
      <c r="K44" s="14"/>
      <c r="L44" s="14"/>
      <c r="M44" s="14"/>
      <c r="N44" s="14"/>
      <c r="O44" s="14"/>
      <c r="Q44" s="18">
        <v>43977</v>
      </c>
      <c r="R44">
        <v>239.77</v>
      </c>
      <c r="S44">
        <v>240.9</v>
      </c>
      <c r="T44">
        <v>231.67</v>
      </c>
      <c r="U44">
        <v>232.2</v>
      </c>
      <c r="V44">
        <v>232.2</v>
      </c>
      <c r="W44">
        <v>33178300</v>
      </c>
      <c r="Y44" s="18">
        <v>43977</v>
      </c>
      <c r="Z44">
        <v>92.49</v>
      </c>
      <c r="AA44">
        <v>94.34</v>
      </c>
      <c r="AB44">
        <v>92.03</v>
      </c>
      <c r="AC44">
        <v>93.3</v>
      </c>
      <c r="AD44">
        <v>93.3</v>
      </c>
      <c r="AE44">
        <v>9430000</v>
      </c>
      <c r="AG44" s="18">
        <v>43977</v>
      </c>
      <c r="AH44">
        <v>31.17</v>
      </c>
      <c r="AI44">
        <v>31.31</v>
      </c>
      <c r="AJ44">
        <v>30.75</v>
      </c>
      <c r="AK44">
        <v>30.94</v>
      </c>
      <c r="AL44">
        <v>30.94</v>
      </c>
      <c r="AM44">
        <v>5107500</v>
      </c>
      <c r="AO44" s="18">
        <v>43977</v>
      </c>
      <c r="AP44">
        <v>62.56</v>
      </c>
      <c r="AQ44">
        <v>65.55</v>
      </c>
      <c r="AR44">
        <v>62.36</v>
      </c>
      <c r="AS44">
        <v>64.47</v>
      </c>
      <c r="AT44">
        <v>64.47</v>
      </c>
      <c r="AU44">
        <v>15937800</v>
      </c>
      <c r="AW44" s="18">
        <v>43977</v>
      </c>
      <c r="AX44">
        <v>9501.2099999999991</v>
      </c>
      <c r="AY44">
        <v>9501.2099999999991</v>
      </c>
      <c r="AZ44">
        <v>9333.16</v>
      </c>
      <c r="BA44">
        <v>9340.2199999999993</v>
      </c>
      <c r="BB44">
        <v>9340.2199999999993</v>
      </c>
      <c r="BC44">
        <v>4432310000</v>
      </c>
    </row>
    <row r="45" spans="1:55" x14ac:dyDescent="0.25">
      <c r="A45" s="18">
        <v>43973</v>
      </c>
      <c r="B45">
        <v>822.17</v>
      </c>
      <c r="C45">
        <v>831.78</v>
      </c>
      <c r="D45">
        <v>812</v>
      </c>
      <c r="E45">
        <v>816.88</v>
      </c>
      <c r="F45">
        <v>816.88</v>
      </c>
      <c r="G45">
        <v>9987500</v>
      </c>
      <c r="I45" s="18"/>
      <c r="J45" s="14"/>
      <c r="K45" s="14"/>
      <c r="L45" s="14"/>
      <c r="M45" s="14"/>
      <c r="N45" s="14"/>
      <c r="O45" s="14"/>
      <c r="Q45" s="18">
        <v>43973</v>
      </c>
      <c r="R45">
        <v>231.51</v>
      </c>
      <c r="S45">
        <v>235.99</v>
      </c>
      <c r="T45">
        <v>228.74</v>
      </c>
      <c r="U45">
        <v>234.91</v>
      </c>
      <c r="V45">
        <v>234.91</v>
      </c>
      <c r="W45">
        <v>33925600</v>
      </c>
      <c r="Y45" s="18">
        <v>43973</v>
      </c>
      <c r="Z45">
        <v>91.45</v>
      </c>
      <c r="AA45">
        <v>91.6</v>
      </c>
      <c r="AB45">
        <v>89.47</v>
      </c>
      <c r="AC45">
        <v>90.28</v>
      </c>
      <c r="AD45">
        <v>90.28</v>
      </c>
      <c r="AE45">
        <v>8563100</v>
      </c>
      <c r="AG45" s="18">
        <v>43973</v>
      </c>
      <c r="AH45">
        <v>30.64</v>
      </c>
      <c r="AI45">
        <v>30.64</v>
      </c>
      <c r="AJ45">
        <v>29.74</v>
      </c>
      <c r="AK45">
        <v>30.34</v>
      </c>
      <c r="AL45">
        <v>30.34</v>
      </c>
      <c r="AM45">
        <v>4408400</v>
      </c>
      <c r="AO45" s="18">
        <v>43973</v>
      </c>
      <c r="AP45">
        <v>60.39</v>
      </c>
      <c r="AQ45">
        <v>60.77</v>
      </c>
      <c r="AR45">
        <v>59.33</v>
      </c>
      <c r="AS45">
        <v>60</v>
      </c>
      <c r="AT45">
        <v>60</v>
      </c>
      <c r="AU45">
        <v>6510700</v>
      </c>
      <c r="AW45" s="18">
        <v>43973</v>
      </c>
      <c r="AX45">
        <v>9278.5499999999993</v>
      </c>
      <c r="AY45">
        <v>9328.2800000000007</v>
      </c>
      <c r="AZ45">
        <v>9239.41</v>
      </c>
      <c r="BA45">
        <v>9324.59</v>
      </c>
      <c r="BB45">
        <v>9324.59</v>
      </c>
      <c r="BC45">
        <v>3641830000</v>
      </c>
    </row>
    <row r="46" spans="1:55" x14ac:dyDescent="0.25">
      <c r="A46" s="18">
        <v>43972</v>
      </c>
      <c r="B46">
        <v>816</v>
      </c>
      <c r="C46">
        <v>832.5</v>
      </c>
      <c r="D46">
        <v>796</v>
      </c>
      <c r="E46">
        <v>827.6</v>
      </c>
      <c r="F46">
        <v>827.6</v>
      </c>
      <c r="G46">
        <v>12254600</v>
      </c>
      <c r="I46" s="18"/>
      <c r="J46" s="14"/>
      <c r="K46" s="14"/>
      <c r="L46" s="14"/>
      <c r="M46" s="14"/>
      <c r="N46" s="14"/>
      <c r="O46" s="14"/>
      <c r="Q46" s="18">
        <v>43972</v>
      </c>
      <c r="R46">
        <v>234.72</v>
      </c>
      <c r="S46">
        <v>237.2</v>
      </c>
      <c r="T46">
        <v>231.2</v>
      </c>
      <c r="U46">
        <v>231.39</v>
      </c>
      <c r="V46">
        <v>231.39</v>
      </c>
      <c r="W46">
        <v>47782600</v>
      </c>
      <c r="Y46" s="18">
        <v>43972</v>
      </c>
      <c r="Z46">
        <v>92.77</v>
      </c>
      <c r="AA46">
        <v>93.37</v>
      </c>
      <c r="AB46">
        <v>91.28</v>
      </c>
      <c r="AC46">
        <v>92.04</v>
      </c>
      <c r="AD46">
        <v>92.04</v>
      </c>
      <c r="AE46">
        <v>8830900</v>
      </c>
      <c r="AG46" s="18">
        <v>43972</v>
      </c>
      <c r="AH46">
        <v>31.17</v>
      </c>
      <c r="AI46">
        <v>31.37</v>
      </c>
      <c r="AJ46">
        <v>30.26</v>
      </c>
      <c r="AK46">
        <v>30.48</v>
      </c>
      <c r="AL46">
        <v>30.48</v>
      </c>
      <c r="AM46">
        <v>4181700</v>
      </c>
      <c r="AO46" s="18">
        <v>43972</v>
      </c>
      <c r="AP46">
        <v>58.3</v>
      </c>
      <c r="AQ46">
        <v>60.21</v>
      </c>
      <c r="AR46">
        <v>58.2</v>
      </c>
      <c r="AS46">
        <v>60.1</v>
      </c>
      <c r="AT46">
        <v>60.1</v>
      </c>
      <c r="AU46">
        <v>10309900</v>
      </c>
      <c r="AW46" s="18">
        <v>43972</v>
      </c>
      <c r="AX46">
        <v>9375.19</v>
      </c>
      <c r="AY46">
        <v>9405.25</v>
      </c>
      <c r="AZ46">
        <v>9254.85</v>
      </c>
      <c r="BA46">
        <v>9284.8799999999992</v>
      </c>
      <c r="BB46">
        <v>9284.8799999999992</v>
      </c>
      <c r="BC46">
        <v>3725950000</v>
      </c>
    </row>
    <row r="47" spans="1:55" x14ac:dyDescent="0.25">
      <c r="A47" s="18">
        <v>43971</v>
      </c>
      <c r="B47">
        <v>820.5</v>
      </c>
      <c r="C47">
        <v>826</v>
      </c>
      <c r="D47">
        <v>811.8</v>
      </c>
      <c r="E47">
        <v>815.56</v>
      </c>
      <c r="F47">
        <v>815.56</v>
      </c>
      <c r="G47">
        <v>7309300</v>
      </c>
      <c r="I47" s="18"/>
      <c r="J47" s="14"/>
      <c r="K47" s="14"/>
      <c r="L47" s="14"/>
      <c r="M47" s="14"/>
      <c r="N47" s="14"/>
      <c r="O47" s="14"/>
      <c r="Q47" s="18">
        <v>43971</v>
      </c>
      <c r="R47">
        <v>223.5</v>
      </c>
      <c r="S47">
        <v>231.34</v>
      </c>
      <c r="T47">
        <v>223.19</v>
      </c>
      <c r="U47">
        <v>229.97</v>
      </c>
      <c r="V47">
        <v>229.97</v>
      </c>
      <c r="W47">
        <v>50162900</v>
      </c>
      <c r="Y47" s="18">
        <v>43971</v>
      </c>
      <c r="Z47">
        <v>91</v>
      </c>
      <c r="AA47">
        <v>93.47</v>
      </c>
      <c r="AB47">
        <v>90.18</v>
      </c>
      <c r="AC47">
        <v>93</v>
      </c>
      <c r="AD47">
        <v>93</v>
      </c>
      <c r="AE47">
        <v>9160000</v>
      </c>
      <c r="AG47" s="18">
        <v>43971</v>
      </c>
      <c r="AH47">
        <v>31.15</v>
      </c>
      <c r="AI47">
        <v>31.52</v>
      </c>
      <c r="AJ47">
        <v>31.01</v>
      </c>
      <c r="AK47">
        <v>31.2</v>
      </c>
      <c r="AL47">
        <v>31.2</v>
      </c>
      <c r="AM47">
        <v>5157200</v>
      </c>
      <c r="AO47" s="18">
        <v>43971</v>
      </c>
      <c r="AP47">
        <v>58.71</v>
      </c>
      <c r="AQ47">
        <v>59.07</v>
      </c>
      <c r="AR47">
        <v>57.69</v>
      </c>
      <c r="AS47">
        <v>57.8</v>
      </c>
      <c r="AT47">
        <v>57.8</v>
      </c>
      <c r="AU47">
        <v>10344800</v>
      </c>
      <c r="AW47" s="18">
        <v>43971</v>
      </c>
      <c r="AX47">
        <v>9305.6200000000008</v>
      </c>
      <c r="AY47">
        <v>9392.82</v>
      </c>
      <c r="AZ47">
        <v>9304.2000000000007</v>
      </c>
      <c r="BA47">
        <v>9375.7800000000007</v>
      </c>
      <c r="BB47">
        <v>9375.7800000000007</v>
      </c>
      <c r="BC47">
        <v>4292470000</v>
      </c>
    </row>
    <row r="48" spans="1:55" x14ac:dyDescent="0.25">
      <c r="A48" s="18">
        <v>43970</v>
      </c>
      <c r="B48">
        <v>815.17</v>
      </c>
      <c r="C48">
        <v>822.07</v>
      </c>
      <c r="D48">
        <v>806.08</v>
      </c>
      <c r="E48">
        <v>808.01</v>
      </c>
      <c r="F48">
        <v>808.01</v>
      </c>
      <c r="G48">
        <v>9636500</v>
      </c>
      <c r="I48" s="18"/>
      <c r="J48" s="14"/>
      <c r="K48" s="14"/>
      <c r="L48" s="14"/>
      <c r="M48" s="14"/>
      <c r="N48" s="14"/>
      <c r="O48" s="14"/>
      <c r="Q48" s="18"/>
      <c r="Y48" s="18"/>
      <c r="Z48" s="14"/>
      <c r="AA48" s="14"/>
      <c r="AB48" s="14"/>
      <c r="AC48" s="14"/>
      <c r="AD48" s="14"/>
      <c r="AE48" s="14"/>
      <c r="AG48" s="18">
        <v>43970</v>
      </c>
      <c r="AH48">
        <v>31.13</v>
      </c>
      <c r="AI48">
        <v>31.13</v>
      </c>
      <c r="AJ48">
        <v>30.2</v>
      </c>
      <c r="AK48">
        <v>30.22</v>
      </c>
      <c r="AL48">
        <v>30.22</v>
      </c>
      <c r="AM48">
        <v>5730000</v>
      </c>
      <c r="AO48" s="18">
        <v>43970</v>
      </c>
      <c r="AP48">
        <v>57.89</v>
      </c>
      <c r="AQ48">
        <v>60.14</v>
      </c>
      <c r="AR48">
        <v>57.4</v>
      </c>
      <c r="AS48">
        <v>57.94</v>
      </c>
      <c r="AT48">
        <v>57.94</v>
      </c>
      <c r="AU48">
        <v>14442300</v>
      </c>
      <c r="AW48" s="18">
        <v>43970</v>
      </c>
      <c r="AX48">
        <v>9227.4599999999991</v>
      </c>
      <c r="AY48">
        <v>9317.25</v>
      </c>
      <c r="AZ48">
        <v>9183.25</v>
      </c>
      <c r="BA48">
        <v>9185.1</v>
      </c>
      <c r="BB48">
        <v>9185.1</v>
      </c>
      <c r="BC48">
        <v>4144770000</v>
      </c>
    </row>
    <row r="49" spans="1:55" x14ac:dyDescent="0.25">
      <c r="A49" s="18"/>
      <c r="I49" s="18"/>
      <c r="J49" s="14"/>
      <c r="K49" s="14"/>
      <c r="L49" s="14"/>
      <c r="M49" s="14"/>
      <c r="N49" s="14"/>
      <c r="O49" s="14"/>
      <c r="Q49" s="18"/>
      <c r="Y49" s="18"/>
      <c r="Z49" s="14"/>
      <c r="AA49" s="14"/>
      <c r="AB49" s="14"/>
      <c r="AC49" s="14"/>
      <c r="AD49" s="14"/>
      <c r="AE49" s="14"/>
      <c r="AG49" s="18">
        <v>43969</v>
      </c>
      <c r="AH49">
        <v>30.36</v>
      </c>
      <c r="AI49">
        <v>31.14</v>
      </c>
      <c r="AJ49">
        <v>30.33</v>
      </c>
      <c r="AK49">
        <v>30.99</v>
      </c>
      <c r="AL49">
        <v>30.99</v>
      </c>
      <c r="AM49">
        <v>6550800</v>
      </c>
      <c r="AO49" s="18"/>
      <c r="AP49" s="14"/>
      <c r="AQ49" s="14"/>
      <c r="AR49" s="14"/>
      <c r="AS49" s="14"/>
      <c r="AT49" s="14"/>
      <c r="AU49" s="14"/>
      <c r="AW49" s="18">
        <v>43969</v>
      </c>
      <c r="AX49">
        <v>9177.15</v>
      </c>
      <c r="AY49">
        <v>9267.2199999999993</v>
      </c>
      <c r="AZ49">
        <v>9154.35</v>
      </c>
      <c r="BA49">
        <v>9234.83</v>
      </c>
      <c r="BB49">
        <v>9234.83</v>
      </c>
      <c r="BC49">
        <v>4318310000</v>
      </c>
    </row>
    <row r="50" spans="1:55" x14ac:dyDescent="0.25">
      <c r="A50" s="18"/>
      <c r="I50" s="18"/>
      <c r="J50" s="14"/>
      <c r="K50" s="14"/>
      <c r="L50" s="14"/>
      <c r="M50" s="14"/>
      <c r="N50" s="14"/>
      <c r="O50" s="14"/>
      <c r="Q50" s="18"/>
      <c r="Y50" s="18"/>
      <c r="Z50" s="14"/>
      <c r="AA50" s="14"/>
      <c r="AB50" s="14"/>
      <c r="AC50" s="14"/>
      <c r="AD50" s="14"/>
      <c r="AE50" s="14"/>
      <c r="AG50" s="18"/>
      <c r="AH50" s="14"/>
      <c r="AI50" s="14"/>
      <c r="AJ50" s="14"/>
      <c r="AK50" s="14"/>
      <c r="AL50" s="14"/>
      <c r="AM50" s="14"/>
      <c r="AO50" s="18"/>
      <c r="AP50" s="14"/>
      <c r="AQ50" s="14"/>
      <c r="AR50" s="14"/>
      <c r="AS50" s="14"/>
      <c r="AT50" s="14"/>
      <c r="AU50" s="14"/>
    </row>
    <row r="51" spans="1:55" x14ac:dyDescent="0.25">
      <c r="A51" s="18"/>
      <c r="I51" s="18"/>
      <c r="J51" s="14"/>
      <c r="K51" s="14"/>
      <c r="L51" s="14"/>
      <c r="M51" s="14"/>
      <c r="N51" s="14"/>
      <c r="O51" s="14"/>
      <c r="Q51" s="18"/>
      <c r="Y51" s="18"/>
      <c r="Z51" s="14"/>
      <c r="AA51" s="14"/>
      <c r="AB51" s="14"/>
      <c r="AC51" s="14"/>
      <c r="AD51" s="14"/>
      <c r="AE51" s="14"/>
      <c r="AG51" s="18"/>
      <c r="AH51" s="14"/>
      <c r="AI51" s="14"/>
      <c r="AJ51" s="14"/>
      <c r="AK51" s="14"/>
      <c r="AL51" s="14"/>
      <c r="AM51" s="14"/>
      <c r="AO51" s="18"/>
      <c r="AP51" s="14"/>
      <c r="AQ51" s="14"/>
      <c r="AR51" s="14"/>
      <c r="AS51" s="14"/>
      <c r="AT51" s="14"/>
      <c r="AU51" s="14"/>
    </row>
    <row r="52" spans="1:55" x14ac:dyDescent="0.25">
      <c r="A52" s="18"/>
      <c r="I52" s="18"/>
      <c r="J52" s="14"/>
      <c r="K52" s="14"/>
      <c r="L52" s="14"/>
      <c r="M52" s="14"/>
      <c r="N52" s="14"/>
      <c r="O52" s="14"/>
      <c r="Q52" s="18"/>
      <c r="Y52" s="18"/>
      <c r="Z52" s="14"/>
      <c r="AA52" s="14"/>
      <c r="AB52" s="14"/>
      <c r="AC52" s="14"/>
      <c r="AD52" s="14"/>
      <c r="AE52" s="14"/>
      <c r="AG52" s="18"/>
      <c r="AH52" s="14"/>
      <c r="AI52" s="14"/>
      <c r="AJ52" s="14"/>
      <c r="AK52" s="14"/>
      <c r="AL52" s="14"/>
      <c r="AM52" s="14"/>
      <c r="AO52" s="18"/>
      <c r="AP52" s="14"/>
      <c r="AQ52" s="14"/>
      <c r="AR52" s="14"/>
      <c r="AS52" s="14"/>
      <c r="AT52" s="14"/>
      <c r="AU52" s="14"/>
    </row>
    <row r="53" spans="1:55" x14ac:dyDescent="0.25">
      <c r="A53" s="18"/>
      <c r="I53" s="18"/>
      <c r="J53" s="14"/>
      <c r="K53" s="14"/>
      <c r="L53" s="14"/>
      <c r="M53" s="14"/>
      <c r="N53" s="14"/>
      <c r="O53" s="14"/>
      <c r="Q53" s="18"/>
      <c r="Y53" s="18"/>
      <c r="Z53" s="14"/>
      <c r="AA53" s="14"/>
      <c r="AB53" s="14"/>
      <c r="AC53" s="14"/>
      <c r="AD53" s="14"/>
      <c r="AE53" s="14"/>
      <c r="AG53" s="18"/>
      <c r="AH53" s="14"/>
      <c r="AI53" s="14"/>
      <c r="AJ53" s="14"/>
      <c r="AK53" s="14"/>
      <c r="AL53" s="14"/>
      <c r="AM53" s="14"/>
      <c r="AO53" s="18"/>
      <c r="AP53" s="14"/>
      <c r="AQ53" s="14"/>
      <c r="AR53" s="14"/>
      <c r="AS53" s="14"/>
      <c r="AT53" s="14"/>
      <c r="AU53" s="14"/>
    </row>
    <row r="54" spans="1:55" x14ac:dyDescent="0.25">
      <c r="A54" s="18"/>
      <c r="I54" s="18"/>
      <c r="J54" s="14"/>
      <c r="K54" s="14"/>
      <c r="L54" s="14"/>
      <c r="M54" s="14"/>
      <c r="N54" s="14"/>
      <c r="O54" s="14"/>
      <c r="Q54" s="18"/>
      <c r="Y54" s="18"/>
      <c r="Z54" s="14"/>
      <c r="AA54" s="14"/>
      <c r="AB54" s="14"/>
      <c r="AC54" s="14"/>
      <c r="AD54" s="14"/>
      <c r="AE54" s="14"/>
      <c r="AG54" s="18"/>
      <c r="AH54" s="14"/>
      <c r="AI54" s="14"/>
      <c r="AJ54" s="14"/>
      <c r="AK54" s="14"/>
      <c r="AL54" s="14"/>
      <c r="AM54" s="14"/>
      <c r="AO54" s="18"/>
      <c r="AP54" s="14"/>
      <c r="AQ54" s="14"/>
      <c r="AR54" s="14"/>
      <c r="AS54" s="14"/>
      <c r="AT54" s="14"/>
      <c r="AU54" s="14"/>
    </row>
    <row r="55" spans="1:55" x14ac:dyDescent="0.25">
      <c r="A55" s="18"/>
      <c r="I55" s="18"/>
      <c r="J55" s="14"/>
      <c r="K55" s="14"/>
      <c r="L55" s="14"/>
      <c r="M55" s="14"/>
      <c r="N55" s="14"/>
      <c r="O55" s="14"/>
      <c r="Q55" s="18"/>
      <c r="Y55" s="18"/>
      <c r="Z55" s="14"/>
      <c r="AA55" s="14"/>
      <c r="AB55" s="14"/>
      <c r="AC55" s="14"/>
      <c r="AD55" s="14"/>
      <c r="AE55" s="14"/>
      <c r="AG55" s="18"/>
      <c r="AH55" s="14"/>
      <c r="AI55" s="14"/>
      <c r="AJ55" s="14"/>
      <c r="AK55" s="14"/>
      <c r="AL55" s="14"/>
      <c r="AM55" s="14"/>
      <c r="AO55" s="18"/>
      <c r="AP55" s="14"/>
      <c r="AQ55" s="14"/>
      <c r="AR55" s="14"/>
      <c r="AS55" s="14"/>
      <c r="AT55" s="14"/>
      <c r="AU55" s="14"/>
    </row>
    <row r="56" spans="1:55" x14ac:dyDescent="0.25">
      <c r="A56" s="18"/>
      <c r="I56" s="18"/>
      <c r="J56" s="14"/>
      <c r="K56" s="14"/>
      <c r="L56" s="14"/>
      <c r="M56" s="14"/>
      <c r="N56" s="14"/>
      <c r="O56" s="14"/>
      <c r="Q56" s="18"/>
      <c r="Y56" s="18"/>
      <c r="Z56" s="14"/>
      <c r="AA56" s="14"/>
      <c r="AB56" s="14"/>
      <c r="AC56" s="14"/>
      <c r="AD56" s="14"/>
      <c r="AE56" s="14"/>
      <c r="AG56" s="18"/>
      <c r="AH56" s="14"/>
      <c r="AI56" s="14"/>
      <c r="AJ56" s="14"/>
      <c r="AK56" s="14"/>
      <c r="AL56" s="14"/>
      <c r="AM56" s="14"/>
      <c r="AO56" s="18"/>
      <c r="AP56" s="14"/>
      <c r="AQ56" s="14"/>
      <c r="AR56" s="14"/>
      <c r="AS56" s="14"/>
      <c r="AT56" s="14"/>
      <c r="AU56" s="14"/>
    </row>
    <row r="57" spans="1:55" x14ac:dyDescent="0.25">
      <c r="I57" s="18"/>
      <c r="J57" s="14"/>
      <c r="K57" s="14"/>
      <c r="L57" s="14"/>
      <c r="M57" s="14"/>
      <c r="N57" s="14"/>
      <c r="O57" s="14"/>
      <c r="Y57" s="18"/>
      <c r="Z57" s="14"/>
      <c r="AA57" s="14"/>
      <c r="AB57" s="14"/>
      <c r="AC57" s="14"/>
      <c r="AD57" s="14"/>
      <c r="AE57" s="14"/>
      <c r="AG57" s="18"/>
      <c r="AH57" s="14"/>
      <c r="AI57" s="14"/>
      <c r="AJ57" s="14"/>
      <c r="AK57" s="14"/>
      <c r="AL57" s="14"/>
      <c r="AM57" s="14"/>
    </row>
    <row r="58" spans="1:55" x14ac:dyDescent="0.25">
      <c r="I58" s="18"/>
      <c r="J58" s="14"/>
      <c r="K58" s="14"/>
      <c r="L58" s="14"/>
      <c r="M58" s="14"/>
      <c r="N58" s="14"/>
      <c r="O58" s="14"/>
      <c r="Y58" s="18"/>
      <c r="Z58" s="14"/>
      <c r="AA58" s="14"/>
      <c r="AB58" s="14"/>
      <c r="AC58" s="14"/>
      <c r="AD58" s="14"/>
      <c r="AE58" s="14"/>
      <c r="AG58" s="18"/>
      <c r="AH58" s="14"/>
      <c r="AI58" s="14"/>
      <c r="AJ58" s="14"/>
      <c r="AK58" s="14"/>
      <c r="AL58" s="14"/>
      <c r="AM58" s="14"/>
    </row>
    <row r="59" spans="1:55" x14ac:dyDescent="0.25">
      <c r="I59" s="18"/>
      <c r="J59" s="14"/>
      <c r="K59" s="14"/>
      <c r="L59" s="14"/>
      <c r="M59" s="14"/>
      <c r="N59" s="14"/>
      <c r="O59" s="14"/>
      <c r="Y59" s="18"/>
      <c r="Z59" s="14"/>
      <c r="AA59" s="14"/>
      <c r="AB59" s="14"/>
      <c r="AC59" s="14"/>
      <c r="AD59" s="14"/>
      <c r="AE59" s="14"/>
      <c r="AG59" s="18"/>
      <c r="AH59" s="14"/>
      <c r="AI59" s="14"/>
      <c r="AJ59" s="14"/>
      <c r="AK59" s="14"/>
      <c r="AL59" s="14"/>
      <c r="AM59" s="14"/>
    </row>
    <row r="60" spans="1:55" x14ac:dyDescent="0.25">
      <c r="I60" s="18"/>
      <c r="J60" s="14"/>
      <c r="K60" s="14"/>
      <c r="L60" s="14"/>
      <c r="M60" s="14"/>
      <c r="N60" s="14"/>
      <c r="O60" s="14"/>
      <c r="Y60" s="18"/>
      <c r="Z60" s="14"/>
      <c r="AA60" s="14"/>
      <c r="AB60" s="14"/>
      <c r="AC60" s="14"/>
      <c r="AD60" s="14"/>
      <c r="AE60" s="14"/>
      <c r="AG60" s="18"/>
      <c r="AH60" s="14"/>
      <c r="AI60" s="14"/>
      <c r="AJ60" s="14"/>
      <c r="AK60" s="14"/>
      <c r="AL60" s="14"/>
      <c r="AM60" s="14"/>
    </row>
  </sheetData>
  <pageMargins left="0.7" right="0.7" top="0.75" bottom="0.75" header="0.3" footer="0.3"/>
  <drawing r:id="rId1"/>
  <tableParts count="7">
    <tablePart r:id="rId2"/>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196C-0DF5-41F4-9282-203E104F03F6}">
  <sheetPr codeName="Sheet4"/>
  <dimension ref="A7:D13"/>
  <sheetViews>
    <sheetView showGridLines="0" workbookViewId="0">
      <selection activeCell="F13" sqref="F13"/>
    </sheetView>
  </sheetViews>
  <sheetFormatPr defaultRowHeight="15" x14ac:dyDescent="0.25"/>
  <cols>
    <col min="1" max="1" width="15.42578125" bestFit="1" customWidth="1"/>
    <col min="2" max="2" width="17.7109375" bestFit="1" customWidth="1"/>
    <col min="3" max="3" width="13.28515625" bestFit="1" customWidth="1"/>
    <col min="4" max="4" width="16.7109375" bestFit="1" customWidth="1"/>
    <col min="5" max="5" width="19.42578125" bestFit="1" customWidth="1"/>
    <col min="6" max="6" width="53.42578125" bestFit="1" customWidth="1"/>
    <col min="7" max="7" width="14" bestFit="1" customWidth="1"/>
    <col min="8" max="8" width="14.7109375" bestFit="1" customWidth="1"/>
    <col min="9" max="9" width="11.140625" bestFit="1" customWidth="1"/>
    <col min="10" max="10" width="13.5703125" bestFit="1" customWidth="1"/>
    <col min="11" max="11" width="18.140625" bestFit="1" customWidth="1"/>
    <col min="12" max="12" width="14.7109375" bestFit="1" customWidth="1"/>
  </cols>
  <sheetData>
    <row r="7" spans="1:4" x14ac:dyDescent="0.25">
      <c r="A7" t="s">
        <v>40</v>
      </c>
    </row>
    <row r="8" spans="1:4" x14ac:dyDescent="0.25">
      <c r="A8" s="30" t="s">
        <v>20</v>
      </c>
      <c r="B8" s="25" t="s">
        <v>36</v>
      </c>
      <c r="C8" s="25" t="s">
        <v>22</v>
      </c>
      <c r="D8" s="25" t="s">
        <v>23</v>
      </c>
    </row>
    <row r="9" spans="1:4" x14ac:dyDescent="0.25">
      <c r="A9" s="25" t="s">
        <v>11</v>
      </c>
      <c r="B9" s="31">
        <v>0.2</v>
      </c>
      <c r="C9" s="32">
        <v>9149.91</v>
      </c>
      <c r="D9" s="31">
        <v>0.15382459620646322</v>
      </c>
    </row>
    <row r="10" spans="1:4" x14ac:dyDescent="0.25">
      <c r="A10" s="25" t="s">
        <v>0</v>
      </c>
      <c r="B10" s="31">
        <v>0.4</v>
      </c>
      <c r="C10" s="32">
        <v>32269.5</v>
      </c>
      <c r="D10" s="31">
        <v>0.54250181775388662</v>
      </c>
    </row>
    <row r="11" spans="1:4" x14ac:dyDescent="0.25">
      <c r="A11" s="25" t="s">
        <v>9</v>
      </c>
      <c r="B11" s="31">
        <v>0.15</v>
      </c>
      <c r="C11" s="32">
        <v>6560.72</v>
      </c>
      <c r="D11" s="31">
        <v>0.11029617830379396</v>
      </c>
    </row>
    <row r="12" spans="1:4" x14ac:dyDescent="0.25">
      <c r="A12" s="25" t="s">
        <v>10</v>
      </c>
      <c r="B12" s="31">
        <v>0.2</v>
      </c>
      <c r="C12" s="32">
        <v>11502.62</v>
      </c>
      <c r="D12" s="31">
        <v>0.19337740773585621</v>
      </c>
    </row>
    <row r="13" spans="1:4" x14ac:dyDescent="0.25">
      <c r="A13" s="25" t="s">
        <v>21</v>
      </c>
      <c r="B13" s="31">
        <v>0.95000000000000018</v>
      </c>
      <c r="C13" s="32">
        <v>59482.750000000007</v>
      </c>
      <c r="D13" s="31">
        <v>0.99999999999999989</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C56AFD-8D89-4689-A5AA-7A96FC71740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Dashboard</vt:lpstr>
      <vt:lpstr>Buy</vt:lpstr>
      <vt:lpstr>Sell</vt:lpstr>
      <vt:lpstr>Stock Data</vt:lpstr>
      <vt:lpstr>PivotData</vt:lpstr>
      <vt:lpstr>BuyTable</vt:lpstr>
      <vt:lpstr>Category</vt:lpstr>
      <vt:lpstr>Stocks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Rudy</dc:creator>
  <cp:lastModifiedBy>Rudy</cp:lastModifiedBy>
  <dcterms:created xsi:type="dcterms:W3CDTF">2020-06-02T14:55:04Z</dcterms:created>
  <dcterms:modified xsi:type="dcterms:W3CDTF">2020-07-29T05:18:39Z</dcterms:modified>
</cp:coreProperties>
</file>